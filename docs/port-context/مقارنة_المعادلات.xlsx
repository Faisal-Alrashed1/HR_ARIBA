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لخص" sheetId="1" state="visible" r:id="rId1"/>
    <sheet xmlns:r="http://schemas.openxmlformats.org/officeDocument/2006/relationships" name="المقارنة الكاملة" sheetId="2" state="visible" r:id="rId2"/>
  </sheets>
  <definedNames>
    <definedName name="_xlnm._FilterDatabase" localSheetId="1" hidden="1">'المقارنة الكاملة'!$A$1:$J$189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9C5700"/>
      <sz val="10"/>
    </font>
    <font>
      <name val="Arial"/>
      <b val="1"/>
      <color rgb="001F4E79"/>
      <sz val="10"/>
    </font>
    <font>
      <name val="Arial"/>
      <b val="1"/>
      <color rgb="005B3C88"/>
      <sz val="10"/>
    </font>
    <font>
      <name val="Arial"/>
      <b val="1"/>
      <color rgb="00014D3D"/>
      <sz val="14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color rgb="00006100"/>
    </font>
    <font>
      <name val="Arial"/>
      <b val="1"/>
      <color rgb="009C5700"/>
    </font>
    <font>
      <name val="Arial"/>
      <b val="1"/>
      <color rgb="009C0006"/>
    </font>
    <font>
      <name val="Arial"/>
      <b val="1"/>
      <color rgb="001F4E79"/>
    </font>
    <font>
      <name val="Arial"/>
      <b val="1"/>
      <color rgb="005B3C88"/>
    </font>
  </fonts>
  <fills count="8">
    <fill>
      <patternFill/>
    </fill>
    <fill>
      <patternFill patternType="gray125"/>
    </fill>
    <fill>
      <patternFill patternType="solid">
        <fgColor rgb="00014D3D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8A8"/>
      </patternFill>
    </fill>
    <fill>
      <patternFill patternType="solid">
        <fgColor rgb="00DDEBF7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wrapText="1"/>
    </xf>
    <xf numFmtId="0" fontId="12" fillId="3" borderId="1" applyAlignment="1" pivotButton="0" quotePrefix="0" xfId="0">
      <alignment horizontal="center" wrapText="1"/>
    </xf>
    <xf numFmtId="0" fontId="13" fillId="5" borderId="1" applyAlignment="1" pivotButton="0" quotePrefix="0" xfId="0">
      <alignment horizontal="center" wrapText="1"/>
    </xf>
    <xf numFmtId="0" fontId="14" fillId="4" borderId="1" applyAlignment="1" pivotButton="0" quotePrefix="0" xfId="0">
      <alignment horizontal="center" wrapText="1"/>
    </xf>
    <xf numFmtId="0" fontId="15" fillId="6" borderId="1" applyAlignment="1" pivotButton="0" quotePrefix="0" xfId="0">
      <alignment horizontal="center" wrapText="1"/>
    </xf>
    <xf numFmtId="0" fontId="16" fillId="7" borderId="1" applyAlignment="1" pivotButton="0" quotePrefix="0" xfId="0">
      <alignment horizontal="center" wrapText="1"/>
    </xf>
    <xf numFmtId="0" fontId="10" fillId="0" borderId="1" applyAlignment="1" pivotButton="0" quotePrefix="0" xfId="0">
      <alignment horizontal="right"/>
    </xf>
    <xf numFmtId="0" fontId="10" fillId="0" borderId="1" applyAlignment="1" pivotButton="0" quotePrefix="0" xfId="0">
      <alignment horizontal="center"/>
    </xf>
    <xf numFmtId="9" fontId="1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right"/>
    </xf>
    <xf numFmtId="0" fontId="11" fillId="0" borderId="1" applyAlignment="1" pivotButton="0" quotePrefix="0" xfId="0">
      <alignment horizontal="center"/>
    </xf>
    <xf numFmtId="9" fontId="11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right"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right" vertical="top" wrapText="1"/>
    </xf>
    <xf numFmtId="0" fontId="3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0" customWidth="1" min="7" max="7"/>
    <col width="16" customWidth="1" min="8" max="8"/>
  </cols>
  <sheetData>
    <row r="1">
      <c r="A1" s="1" t="inlineStr">
        <is>
          <t>ملخص مقارنة المعادلات — نظامنا مقابل نظامهم</t>
        </is>
      </c>
    </row>
    <row r="3">
      <c r="A3" s="2" t="inlineStr">
        <is>
          <t>المجال</t>
        </is>
      </c>
      <c r="B3" s="3" t="inlineStr">
        <is>
          <t>مطابق</t>
        </is>
      </c>
      <c r="C3" s="4" t="inlineStr">
        <is>
          <t>شبه مطابق</t>
        </is>
      </c>
      <c r="D3" s="5" t="inlineStr">
        <is>
          <t>غير مطابق</t>
        </is>
      </c>
      <c r="E3" s="6" t="inlineStr">
        <is>
          <t>عندهم فقط</t>
        </is>
      </c>
      <c r="F3" s="7" t="inlineStr">
        <is>
          <t>عندنا فقط</t>
        </is>
      </c>
      <c r="G3" s="2" t="inlineStr">
        <is>
          <t>المجموع</t>
        </is>
      </c>
      <c r="H3" s="2" t="inlineStr">
        <is>
          <t>نسبة المطابق من المشترك</t>
        </is>
      </c>
    </row>
    <row r="4">
      <c r="A4" s="8" t="inlineStr">
        <is>
          <t>المسيّر (PAYX)</t>
        </is>
      </c>
      <c r="B4" s="9">
        <f>COUNTIFS('المقارنة الكاملة'!$B$2:$B$189,$A4,'المقارنة الكاملة'!$H$2:$H$189,B$3)</f>
        <v/>
      </c>
      <c r="C4" s="9">
        <f>COUNTIFS('المقارنة الكاملة'!$B$2:$B$189,$A4,'المقارنة الكاملة'!$H$2:$H$189,C$3)</f>
        <v/>
      </c>
      <c r="D4" s="9">
        <f>COUNTIFS('المقارنة الكاملة'!$B$2:$B$189,$A4,'المقارنة الكاملة'!$H$2:$H$189,D$3)</f>
        <v/>
      </c>
      <c r="E4" s="9">
        <f>COUNTIFS('المقارنة الكاملة'!$B$2:$B$189,$A4,'المقارنة الكاملة'!$H$2:$H$189,E$3)</f>
        <v/>
      </c>
      <c r="F4" s="9">
        <f>COUNTIFS('المقارنة الكاملة'!$B$2:$B$189,$A4,'المقارنة الكاملة'!$H$2:$H$189,F$3)</f>
        <v/>
      </c>
      <c r="G4" s="9">
        <f>SUM(B4:F4)</f>
        <v/>
      </c>
      <c r="H4" s="10">
        <f>IFERROR(B4/(B4+C4+D4),0)</f>
        <v/>
      </c>
    </row>
    <row r="5">
      <c r="A5" s="8" t="inlineStr">
        <is>
          <t>صفوف المسيّر</t>
        </is>
      </c>
      <c r="B5" s="9">
        <f>COUNTIFS('المقارنة الكاملة'!$B$2:$B$189,$A5,'المقارنة الكاملة'!$H$2:$H$189,B$3)</f>
        <v/>
      </c>
      <c r="C5" s="9">
        <f>COUNTIFS('المقارنة الكاملة'!$B$2:$B$189,$A5,'المقارنة الكاملة'!$H$2:$H$189,C$3)</f>
        <v/>
      </c>
      <c r="D5" s="9">
        <f>COUNTIFS('المقارنة الكاملة'!$B$2:$B$189,$A5,'المقارنة الكاملة'!$H$2:$H$189,D$3)</f>
        <v/>
      </c>
      <c r="E5" s="9">
        <f>COUNTIFS('المقارنة الكاملة'!$B$2:$B$189,$A5,'المقارنة الكاملة'!$H$2:$H$189,E$3)</f>
        <v/>
      </c>
      <c r="F5" s="9">
        <f>COUNTIFS('المقارنة الكاملة'!$B$2:$B$189,$A5,'المقارنة الكاملة'!$H$2:$H$189,F$3)</f>
        <v/>
      </c>
      <c r="G5" s="9">
        <f>SUM(B5:F5)</f>
        <v/>
      </c>
      <c r="H5" s="10">
        <f>IFERROR(B5/(B5+C5+D5),0)</f>
        <v/>
      </c>
    </row>
    <row r="6">
      <c r="A6" s="8" t="inlineStr">
        <is>
          <t>التأمينات</t>
        </is>
      </c>
      <c r="B6" s="9">
        <f>COUNTIFS('المقارنة الكاملة'!$B$2:$B$189,$A6,'المقارنة الكاملة'!$H$2:$H$189,B$3)</f>
        <v/>
      </c>
      <c r="C6" s="9">
        <f>COUNTIFS('المقارنة الكاملة'!$B$2:$B$189,$A6,'المقارنة الكاملة'!$H$2:$H$189,C$3)</f>
        <v/>
      </c>
      <c r="D6" s="9">
        <f>COUNTIFS('المقارنة الكاملة'!$B$2:$B$189,$A6,'المقارنة الكاملة'!$H$2:$H$189,D$3)</f>
        <v/>
      </c>
      <c r="E6" s="9">
        <f>COUNTIFS('المقارنة الكاملة'!$B$2:$B$189,$A6,'المقارنة الكاملة'!$H$2:$H$189,E$3)</f>
        <v/>
      </c>
      <c r="F6" s="9">
        <f>COUNTIFS('المقارنة الكاملة'!$B$2:$B$189,$A6,'المقارنة الكاملة'!$H$2:$H$189,F$3)</f>
        <v/>
      </c>
      <c r="G6" s="9">
        <f>SUM(B6:F6)</f>
        <v/>
      </c>
      <c r="H6" s="10">
        <f>IFERROR(B6/(B6+C6+D6),0)</f>
        <v/>
      </c>
    </row>
    <row r="7">
      <c r="A7" s="8" t="inlineStr">
        <is>
          <t>بيانات الموظف</t>
        </is>
      </c>
      <c r="B7" s="9">
        <f>COUNTIFS('المقارنة الكاملة'!$B$2:$B$189,$A7,'المقارنة الكاملة'!$H$2:$H$189,B$3)</f>
        <v/>
      </c>
      <c r="C7" s="9">
        <f>COUNTIFS('المقارنة الكاملة'!$B$2:$B$189,$A7,'المقارنة الكاملة'!$H$2:$H$189,C$3)</f>
        <v/>
      </c>
      <c r="D7" s="9">
        <f>COUNTIFS('المقارنة الكاملة'!$B$2:$B$189,$A7,'المقارنة الكاملة'!$H$2:$H$189,D$3)</f>
        <v/>
      </c>
      <c r="E7" s="9">
        <f>COUNTIFS('المقارنة الكاملة'!$B$2:$B$189,$A7,'المقارنة الكاملة'!$H$2:$H$189,E$3)</f>
        <v/>
      </c>
      <c r="F7" s="9">
        <f>COUNTIFS('المقارنة الكاملة'!$B$2:$B$189,$A7,'المقارنة الكاملة'!$H$2:$H$189,F$3)</f>
        <v/>
      </c>
      <c r="G7" s="9">
        <f>SUM(B7:F7)</f>
        <v/>
      </c>
      <c r="H7" s="10">
        <f>IFERROR(B7/(B7+C7+D7),0)</f>
        <v/>
      </c>
    </row>
    <row r="8">
      <c r="A8" s="8" t="inlineStr">
        <is>
          <t>نهاية الخدمة</t>
        </is>
      </c>
      <c r="B8" s="9">
        <f>COUNTIFS('المقارنة الكاملة'!$B$2:$B$189,$A8,'المقارنة الكاملة'!$H$2:$H$189,B$3)</f>
        <v/>
      </c>
      <c r="C8" s="9">
        <f>COUNTIFS('المقارنة الكاملة'!$B$2:$B$189,$A8,'المقارنة الكاملة'!$H$2:$H$189,C$3)</f>
        <v/>
      </c>
      <c r="D8" s="9">
        <f>COUNTIFS('المقارنة الكاملة'!$B$2:$B$189,$A8,'المقارنة الكاملة'!$H$2:$H$189,D$3)</f>
        <v/>
      </c>
      <c r="E8" s="9">
        <f>COUNTIFS('المقارنة الكاملة'!$B$2:$B$189,$A8,'المقارنة الكاملة'!$H$2:$H$189,E$3)</f>
        <v/>
      </c>
      <c r="F8" s="9">
        <f>COUNTIFS('المقارنة الكاملة'!$B$2:$B$189,$A8,'المقارنة الكاملة'!$H$2:$H$189,F$3)</f>
        <v/>
      </c>
      <c r="G8" s="9">
        <f>SUM(B8:F8)</f>
        <v/>
      </c>
      <c r="H8" s="10">
        <f>IFERROR(B8/(B8+C8+D8),0)</f>
        <v/>
      </c>
    </row>
    <row r="9">
      <c r="A9" s="8" t="inlineStr">
        <is>
          <t>المخالصة</t>
        </is>
      </c>
      <c r="B9" s="9">
        <f>COUNTIFS('المقارنة الكاملة'!$B$2:$B$189,$A9,'المقارنة الكاملة'!$H$2:$H$189,B$3)</f>
        <v/>
      </c>
      <c r="C9" s="9">
        <f>COUNTIFS('المقارنة الكاملة'!$B$2:$B$189,$A9,'المقارنة الكاملة'!$H$2:$H$189,C$3)</f>
        <v/>
      </c>
      <c r="D9" s="9">
        <f>COUNTIFS('المقارنة الكاملة'!$B$2:$B$189,$A9,'المقارنة الكاملة'!$H$2:$H$189,D$3)</f>
        <v/>
      </c>
      <c r="E9" s="9">
        <f>COUNTIFS('المقارنة الكاملة'!$B$2:$B$189,$A9,'المقارنة الكاملة'!$H$2:$H$189,E$3)</f>
        <v/>
      </c>
      <c r="F9" s="9">
        <f>COUNTIFS('المقارنة الكاملة'!$B$2:$B$189,$A9,'المقارنة الكاملة'!$H$2:$H$189,F$3)</f>
        <v/>
      </c>
      <c r="G9" s="9">
        <f>SUM(B9:F9)</f>
        <v/>
      </c>
      <c r="H9" s="10">
        <f>IFERROR(B9/(B9+C9+D9),0)</f>
        <v/>
      </c>
    </row>
    <row r="10">
      <c r="A10" s="8" t="inlineStr">
        <is>
          <t>الإجازات</t>
        </is>
      </c>
      <c r="B10" s="9">
        <f>COUNTIFS('المقارنة الكاملة'!$B$2:$B$189,$A10,'المقارنة الكاملة'!$H$2:$H$189,B$3)</f>
        <v/>
      </c>
      <c r="C10" s="9">
        <f>COUNTIFS('المقارنة الكاملة'!$B$2:$B$189,$A10,'المقارنة الكاملة'!$H$2:$H$189,C$3)</f>
        <v/>
      </c>
      <c r="D10" s="9">
        <f>COUNTIFS('المقارنة الكاملة'!$B$2:$B$189,$A10,'المقارنة الكاملة'!$H$2:$H$189,D$3)</f>
        <v/>
      </c>
      <c r="E10" s="9">
        <f>COUNTIFS('المقارنة الكاملة'!$B$2:$B$189,$A10,'المقارنة الكاملة'!$H$2:$H$189,E$3)</f>
        <v/>
      </c>
      <c r="F10" s="9">
        <f>COUNTIFS('المقارنة الكاملة'!$B$2:$B$189,$A10,'المقارنة الكاملة'!$H$2:$H$189,F$3)</f>
        <v/>
      </c>
      <c r="G10" s="9">
        <f>SUM(B10:F10)</f>
        <v/>
      </c>
      <c r="H10" s="10">
        <f>IFERROR(B10/(B10+C10+D10),0)</f>
        <v/>
      </c>
    </row>
    <row r="11">
      <c r="A11" s="8" t="inlineStr">
        <is>
          <t>الحضور والبصمة</t>
        </is>
      </c>
      <c r="B11" s="9">
        <f>COUNTIFS('المقارنة الكاملة'!$B$2:$B$189,$A11,'المقارنة الكاملة'!$H$2:$H$189,B$3)</f>
        <v/>
      </c>
      <c r="C11" s="9">
        <f>COUNTIFS('المقارنة الكاملة'!$B$2:$B$189,$A11,'المقارنة الكاملة'!$H$2:$H$189,C$3)</f>
        <v/>
      </c>
      <c r="D11" s="9">
        <f>COUNTIFS('المقارنة الكاملة'!$B$2:$B$189,$A11,'المقارنة الكاملة'!$H$2:$H$189,D$3)</f>
        <v/>
      </c>
      <c r="E11" s="9">
        <f>COUNTIFS('المقارنة الكاملة'!$B$2:$B$189,$A11,'المقارنة الكاملة'!$H$2:$H$189,E$3)</f>
        <v/>
      </c>
      <c r="F11" s="9">
        <f>COUNTIFS('المقارنة الكاملة'!$B$2:$B$189,$A11,'المقارنة الكاملة'!$H$2:$H$189,F$3)</f>
        <v/>
      </c>
      <c r="G11" s="9">
        <f>SUM(B11:F11)</f>
        <v/>
      </c>
      <c r="H11" s="10">
        <f>IFERROR(B11/(B11+C11+D11),0)</f>
        <v/>
      </c>
    </row>
    <row r="12">
      <c r="A12" s="8" t="inlineStr">
        <is>
          <t>لوحة التحكم والتقارير</t>
        </is>
      </c>
      <c r="B12" s="9">
        <f>COUNTIFS('المقارنة الكاملة'!$B$2:$B$189,$A12,'المقارنة الكاملة'!$H$2:$H$189,B$3)</f>
        <v/>
      </c>
      <c r="C12" s="9">
        <f>COUNTIFS('المقارنة الكاملة'!$B$2:$B$189,$A12,'المقارنة الكاملة'!$H$2:$H$189,C$3)</f>
        <v/>
      </c>
      <c r="D12" s="9">
        <f>COUNTIFS('المقارنة الكاملة'!$B$2:$B$189,$A12,'المقارنة الكاملة'!$H$2:$H$189,D$3)</f>
        <v/>
      </c>
      <c r="E12" s="9">
        <f>COUNTIFS('المقارنة الكاملة'!$B$2:$B$189,$A12,'المقارنة الكاملة'!$H$2:$H$189,E$3)</f>
        <v/>
      </c>
      <c r="F12" s="9">
        <f>COUNTIFS('المقارنة الكاملة'!$B$2:$B$189,$A12,'المقارنة الكاملة'!$H$2:$H$189,F$3)</f>
        <v/>
      </c>
      <c r="G12" s="9">
        <f>SUM(B12:F12)</f>
        <v/>
      </c>
      <c r="H12" s="10">
        <f>IFERROR(B12/(B12+C12+D12),0)</f>
        <v/>
      </c>
    </row>
    <row r="13">
      <c r="A13" s="8" t="inlineStr">
        <is>
          <t>النماذج</t>
        </is>
      </c>
      <c r="B13" s="9">
        <f>COUNTIFS('المقارنة الكاملة'!$B$2:$B$189,$A13,'المقارنة الكاملة'!$H$2:$H$189,B$3)</f>
        <v/>
      </c>
      <c r="C13" s="9">
        <f>COUNTIFS('المقارنة الكاملة'!$B$2:$B$189,$A13,'المقارنة الكاملة'!$H$2:$H$189,C$3)</f>
        <v/>
      </c>
      <c r="D13" s="9">
        <f>COUNTIFS('المقارنة الكاملة'!$B$2:$B$189,$A13,'المقارنة الكاملة'!$H$2:$H$189,D$3)</f>
        <v/>
      </c>
      <c r="E13" s="9">
        <f>COUNTIFS('المقارنة الكاملة'!$B$2:$B$189,$A13,'المقارنة الكاملة'!$H$2:$H$189,E$3)</f>
        <v/>
      </c>
      <c r="F13" s="9">
        <f>COUNTIFS('المقارنة الكاملة'!$B$2:$B$189,$A13,'المقارنة الكاملة'!$H$2:$H$189,F$3)</f>
        <v/>
      </c>
      <c r="G13" s="9">
        <f>SUM(B13:F13)</f>
        <v/>
      </c>
      <c r="H13" s="10">
        <f>IFERROR(B13/(B13+C13+D13),0)</f>
        <v/>
      </c>
    </row>
    <row r="14">
      <c r="A14" s="8" t="inlineStr">
        <is>
          <t>سير الطلبات</t>
        </is>
      </c>
      <c r="B14" s="9">
        <f>COUNTIFS('المقارنة الكاملة'!$B$2:$B$189,$A14,'المقارنة الكاملة'!$H$2:$H$189,B$3)</f>
        <v/>
      </c>
      <c r="C14" s="9">
        <f>COUNTIFS('المقارنة الكاملة'!$B$2:$B$189,$A14,'المقارنة الكاملة'!$H$2:$H$189,C$3)</f>
        <v/>
      </c>
      <c r="D14" s="9">
        <f>COUNTIFS('المقارنة الكاملة'!$B$2:$B$189,$A14,'المقارنة الكاملة'!$H$2:$H$189,D$3)</f>
        <v/>
      </c>
      <c r="E14" s="9">
        <f>COUNTIFS('المقارنة الكاملة'!$B$2:$B$189,$A14,'المقارنة الكاملة'!$H$2:$H$189,E$3)</f>
        <v/>
      </c>
      <c r="F14" s="9">
        <f>COUNTIFS('المقارنة الكاملة'!$B$2:$B$189,$A14,'المقارنة الكاملة'!$H$2:$H$189,F$3)</f>
        <v/>
      </c>
      <c r="G14" s="9">
        <f>SUM(B14:F14)</f>
        <v/>
      </c>
      <c r="H14" s="10">
        <f>IFERROR(B14/(B14+C14+D14),0)</f>
        <v/>
      </c>
    </row>
    <row r="15">
      <c r="A15" s="8" t="inlineStr">
        <is>
          <t>ميزات جديدة</t>
        </is>
      </c>
      <c r="B15" s="9">
        <f>COUNTIFS('المقارنة الكاملة'!$B$2:$B$189,$A15,'المقارنة الكاملة'!$H$2:$H$189,B$3)</f>
        <v/>
      </c>
      <c r="C15" s="9">
        <f>COUNTIFS('المقارنة الكاملة'!$B$2:$B$189,$A15,'المقارنة الكاملة'!$H$2:$H$189,C$3)</f>
        <v/>
      </c>
      <c r="D15" s="9">
        <f>COUNTIFS('المقارنة الكاملة'!$B$2:$B$189,$A15,'المقارنة الكاملة'!$H$2:$H$189,D$3)</f>
        <v/>
      </c>
      <c r="E15" s="9">
        <f>COUNTIFS('المقارنة الكاملة'!$B$2:$B$189,$A15,'المقارنة الكاملة'!$H$2:$H$189,E$3)</f>
        <v/>
      </c>
      <c r="F15" s="9">
        <f>COUNTIFS('المقارنة الكاملة'!$B$2:$B$189,$A15,'المقارنة الكاملة'!$H$2:$H$189,F$3)</f>
        <v/>
      </c>
      <c r="G15" s="9">
        <f>SUM(B15:F15)</f>
        <v/>
      </c>
      <c r="H15" s="10">
        <f>IFERROR(B15/(B15+C15+D15),0)</f>
        <v/>
      </c>
    </row>
    <row r="16">
      <c r="A16" s="8" t="inlineStr">
        <is>
          <t>الدخول والجلسات</t>
        </is>
      </c>
      <c r="B16" s="9">
        <f>COUNTIFS('المقارنة الكاملة'!$B$2:$B$189,$A16,'المقارنة الكاملة'!$H$2:$H$189,B$3)</f>
        <v/>
      </c>
      <c r="C16" s="9">
        <f>COUNTIFS('المقارنة الكاملة'!$B$2:$B$189,$A16,'المقارنة الكاملة'!$H$2:$H$189,C$3)</f>
        <v/>
      </c>
      <c r="D16" s="9">
        <f>COUNTIFS('المقارنة الكاملة'!$B$2:$B$189,$A16,'المقارنة الكاملة'!$H$2:$H$189,D$3)</f>
        <v/>
      </c>
      <c r="E16" s="9">
        <f>COUNTIFS('المقارنة الكاملة'!$B$2:$B$189,$A16,'المقارنة الكاملة'!$H$2:$H$189,E$3)</f>
        <v/>
      </c>
      <c r="F16" s="9">
        <f>COUNTIFS('المقارنة الكاملة'!$B$2:$B$189,$A16,'المقارنة الكاملة'!$H$2:$H$189,F$3)</f>
        <v/>
      </c>
      <c r="G16" s="9">
        <f>SUM(B16:F16)</f>
        <v/>
      </c>
      <c r="H16" s="10">
        <f>IFERROR(B16/(B16+C16+D16),0)</f>
        <v/>
      </c>
    </row>
    <row r="17">
      <c r="A17" s="11" t="inlineStr">
        <is>
          <t>الإجمالي</t>
        </is>
      </c>
      <c r="B17" s="12">
        <f>SUM(B4:B16)</f>
        <v/>
      </c>
      <c r="C17" s="12">
        <f>SUM(C4:C16)</f>
        <v/>
      </c>
      <c r="D17" s="12">
        <f>SUM(D4:D16)</f>
        <v/>
      </c>
      <c r="E17" s="12">
        <f>SUM(E4:E16)</f>
        <v/>
      </c>
      <c r="F17" s="12">
        <f>SUM(F4:F16)</f>
        <v/>
      </c>
      <c r="G17" s="12">
        <f>SUM(B17:F17)</f>
        <v/>
      </c>
      <c r="H17" s="13">
        <f>IFERROR(B17/(B17+C17+D17),0)</f>
        <v/>
      </c>
    </row>
    <row r="19" ht="30" customHeight="1">
      <c r="A19" s="14" t="inlineStr">
        <is>
          <t>الألوان: أخضر = مطابق · برتقالي = شبه مطابق (نفس المعادلة وفرق بسيط أو في حالات حدية) · أحمر = غير مطابق · أزرق = عندهم فقط · بنفسجي = عندنا فقط.</t>
        </is>
      </c>
    </row>
    <row r="20" ht="30" customHeight="1">
      <c r="A20" s="14" t="inlineStr">
        <is>
          <t>نسبة المطابق = المطابق ÷ (المطابق + شبه المطابق + غير المطابق)، أي من المعادلات الموجودة في النظامين.</t>
        </is>
      </c>
    </row>
    <row r="21" ht="30" customHeight="1">
      <c r="A21" s="14" t="inlineStr">
        <is>
          <t>طريقة الفحص: «تشغيل» = شغّلت معادلاتهم ومعادلاتنا على نفس الأرقام وقارنت النتائج · «قراءة» = مقارنة الكود سطراً بسطر.</t>
        </is>
      </c>
    </row>
    <row r="22" ht="30" customHeight="1">
      <c r="A22" s="14" t="inlineStr">
        <is>
          <t>الإصدارات: نظامهم = تسليم 18 أكتوبر 2026 (ملفات 17 أكتوبر، مطابق لملف ZIP في التنزيلات). نظامنا = main عند 494998d (14 أكتوبر 2026).</t>
        </is>
      </c>
    </row>
    <row r="23" ht="30" customHeight="1">
      <c r="A23" s="14" t="inlineStr">
        <is>
          <t>دوال قاعدتهم القديمة مأخوذة من نسخة Supabase بتاريخ 8 أكتوبر؛ نسختهم الحية ربما تغيّرت. الدوال الست الناقصة لا يمكن فحصها.</t>
        </is>
      </c>
    </row>
    <row r="24" ht="30" customHeight="1">
      <c r="A24" s="14" t="inlineStr">
        <is>
          <t>تصحيحات نظام العمل عندنا: A م.85 · B وعاء المكافأة · C م.77 المحدد · D م.87 · E/F تنبيهات المرضية والإجازات · G التأمينات على السكن الفعلي · J رصيد ما بعد 5 سنوات · K المرن متعدد الجلسات.</t>
        </is>
      </c>
    </row>
  </sheetData>
  <mergeCells count="7">
    <mergeCell ref="A21:H21"/>
    <mergeCell ref="A20:H20"/>
    <mergeCell ref="A24:H24"/>
    <mergeCell ref="A19:H19"/>
    <mergeCell ref="A1:H1"/>
    <mergeCell ref="A23:H23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9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  <col width="30" customWidth="1" min="4" max="4"/>
    <col width="44" customWidth="1" min="5" max="5"/>
    <col width="30" customWidth="1" min="6" max="6"/>
    <col width="44" customWidth="1" min="7" max="7"/>
    <col width="12" customWidth="1" min="8" max="8"/>
    <col width="40" customWidth="1" min="9" max="9"/>
    <col width="18" customWidth="1" min="10" max="10"/>
  </cols>
  <sheetData>
    <row r="1">
      <c r="A1" s="15" t="inlineStr">
        <is>
          <t>م</t>
        </is>
      </c>
      <c r="B1" s="15" t="inlineStr">
        <is>
          <t>المجال</t>
        </is>
      </c>
      <c r="C1" s="15" t="inlineStr">
        <is>
          <t>المعادلة</t>
        </is>
      </c>
      <c r="D1" s="15" t="inlineStr">
        <is>
          <t>نظامهم: المكان</t>
        </is>
      </c>
      <c r="E1" s="15" t="inlineStr">
        <is>
          <t>نظامهم: المعادلة</t>
        </is>
      </c>
      <c r="F1" s="15" t="inlineStr">
        <is>
          <t>نظامنا: المكان</t>
        </is>
      </c>
      <c r="G1" s="15" t="inlineStr">
        <is>
          <t>نظامنا: المعادلة</t>
        </is>
      </c>
      <c r="H1" s="15" t="inlineStr">
        <is>
          <t>الحالة</t>
        </is>
      </c>
      <c r="I1" s="15" t="inlineStr">
        <is>
          <t>الفرق / السبب</t>
        </is>
      </c>
      <c r="J1" s="15" t="inlineStr">
        <is>
          <t>طريقة الفحص</t>
        </is>
      </c>
    </row>
    <row r="2">
      <c r="A2" s="16" t="n">
        <v>1</v>
      </c>
      <c r="B2" s="17" t="inlineStr">
        <is>
          <t>المسيّر (PAYX)</t>
        </is>
      </c>
      <c r="C2" s="17" t="inlineStr">
        <is>
          <t>V الراتب حسب الأيام</t>
        </is>
      </c>
      <c r="D2" s="17" t="inlineStr">
        <is>
          <t>هم/HR:engines/payx.js</t>
        </is>
      </c>
      <c r="E2" s="17" t="inlineStr">
        <is>
          <t>الأساسي × أيام العمل ÷ أيام الشهر</t>
        </is>
      </c>
      <c r="F2" s="17" t="inlineStr">
        <is>
          <t>نحن/موقع:lib/calc/payx.ts</t>
        </is>
      </c>
      <c r="G2" s="17" t="inlineStr">
        <is>
          <t>نفسها</t>
        </is>
      </c>
      <c r="H2" s="18" t="inlineStr">
        <is>
          <t>مطابق</t>
        </is>
      </c>
      <c r="I2" s="17" t="inlineStr"/>
      <c r="J2" s="17" t="inlineStr">
        <is>
          <t>تشغيل 20,000 حالة</t>
        </is>
      </c>
    </row>
    <row r="3">
      <c r="A3" s="16" t="n">
        <v>2</v>
      </c>
      <c r="B3" s="17" t="inlineStr">
        <is>
          <t>المسيّر (PAYX)</t>
        </is>
      </c>
      <c r="C3" s="17" t="inlineStr">
        <is>
          <t>Y بدل السكن بالأيام</t>
        </is>
      </c>
      <c r="D3" s="17" t="inlineStr">
        <is>
          <t>هم/HR:engines/payx.js</t>
        </is>
      </c>
      <c r="E3" s="17" t="inlineStr">
        <is>
          <t>الأساسي × نسبة السكن × أيام العمل ÷ أيام الشهر (صفر للتمهير)</t>
        </is>
      </c>
      <c r="F3" s="17" t="inlineStr">
        <is>
          <t>نحن/موقع:lib/calc/payx.ts</t>
        </is>
      </c>
      <c r="G3" s="17" t="inlineStr">
        <is>
          <t>نفسها</t>
        </is>
      </c>
      <c r="H3" s="18" t="inlineStr">
        <is>
          <t>مطابق</t>
        </is>
      </c>
      <c r="I3" s="17" t="inlineStr"/>
      <c r="J3" s="17" t="inlineStr">
        <is>
          <t>تشغيل 20,000 حالة</t>
        </is>
      </c>
    </row>
    <row r="4">
      <c r="A4" s="16" t="n">
        <v>3</v>
      </c>
      <c r="B4" s="17" t="inlineStr">
        <is>
          <t>المسيّر (PAYX)</t>
        </is>
      </c>
      <c r="C4" s="17" t="inlineStr">
        <is>
          <t>Z بدل المواصلات بالأيام</t>
        </is>
      </c>
      <c r="D4" s="17" t="inlineStr">
        <is>
          <t>هم/HR:engines/payx.js</t>
        </is>
      </c>
      <c r="E4" s="17" t="inlineStr">
        <is>
          <t>الأساسي × نسبة المواصلات × أيام العمل ÷ أيام الشهر (صفر للتمهير)</t>
        </is>
      </c>
      <c r="F4" s="17" t="inlineStr">
        <is>
          <t>نحن/موقع:lib/calc/payx.ts</t>
        </is>
      </c>
      <c r="G4" s="17" t="inlineStr">
        <is>
          <t>نفسها</t>
        </is>
      </c>
      <c r="H4" s="18" t="inlineStr">
        <is>
          <t>مطابق</t>
        </is>
      </c>
      <c r="I4" s="17" t="inlineStr"/>
      <c r="J4" s="17" t="inlineStr">
        <is>
          <t>تشغيل 20,000 حالة</t>
        </is>
      </c>
    </row>
    <row r="5">
      <c r="A5" s="16" t="n">
        <v>4</v>
      </c>
      <c r="B5" s="17" t="inlineStr">
        <is>
          <t>المسيّر (PAYX)</t>
        </is>
      </c>
      <c r="C5" s="17" t="inlineStr">
        <is>
          <t>AA بدل المشروع بالأيام</t>
        </is>
      </c>
      <c r="D5" s="17" t="inlineStr">
        <is>
          <t>هم/HR:engines/payx.js</t>
        </is>
      </c>
      <c r="E5" s="17" t="inlineStr">
        <is>
          <t>المشروع × أيام العمل ÷ أيام الشهر</t>
        </is>
      </c>
      <c r="F5" s="17" t="inlineStr">
        <is>
          <t>نحن/موقع:lib/calc/payx.ts</t>
        </is>
      </c>
      <c r="G5" s="17" t="inlineStr">
        <is>
          <t>نفسها</t>
        </is>
      </c>
      <c r="H5" s="18" t="inlineStr">
        <is>
          <t>مطابق</t>
        </is>
      </c>
      <c r="I5" s="17" t="inlineStr"/>
      <c r="J5" s="17" t="inlineStr">
        <is>
          <t>تشغيل 20,000 حالة</t>
        </is>
      </c>
    </row>
    <row r="6">
      <c r="A6" s="16" t="n">
        <v>5</v>
      </c>
      <c r="B6" s="17" t="inlineStr">
        <is>
          <t>المسيّر (PAYX)</t>
        </is>
      </c>
      <c r="C6" s="17" t="inlineStr">
        <is>
          <t>AB البدلات الأخرى بالأيام</t>
        </is>
      </c>
      <c r="D6" s="17" t="inlineStr">
        <is>
          <t>هم/HR:engines/payx.js</t>
        </is>
      </c>
      <c r="E6" s="17" t="inlineStr">
        <is>
          <t>الأخرى × أيام العمل ÷ أيام الشهر</t>
        </is>
      </c>
      <c r="F6" s="17" t="inlineStr">
        <is>
          <t>نحن/موقع:lib/calc/payx.ts</t>
        </is>
      </c>
      <c r="G6" s="17" t="inlineStr">
        <is>
          <t>نفسها</t>
        </is>
      </c>
      <c r="H6" s="18" t="inlineStr">
        <is>
          <t>مطابق</t>
        </is>
      </c>
      <c r="I6" s="17" t="inlineStr"/>
      <c r="J6" s="17" t="inlineStr">
        <is>
          <t>تشغيل 20,000 حالة</t>
        </is>
      </c>
    </row>
    <row r="7">
      <c r="A7" s="16" t="n">
        <v>6</v>
      </c>
      <c r="B7" s="17" t="inlineStr">
        <is>
          <t>المسيّر (PAYX)</t>
        </is>
      </c>
      <c r="C7" s="17" t="inlineStr">
        <is>
          <t>T الراتب شامل البدلات</t>
        </is>
      </c>
      <c r="D7" s="17" t="inlineStr">
        <is>
          <t>هم/HR:engines/payx.js</t>
        </is>
      </c>
      <c r="E7" s="17" t="inlineStr">
        <is>
          <t>أساسي + سكن + مواصلات + مشروع + أخرى، أو قيمة يدوية</t>
        </is>
      </c>
      <c r="F7" s="17" t="inlineStr">
        <is>
          <t>نحن/موقع:lib/calc/payx.ts</t>
        </is>
      </c>
      <c r="G7" s="17" t="inlineStr">
        <is>
          <t>نفسها</t>
        </is>
      </c>
      <c r="H7" s="18" t="inlineStr">
        <is>
          <t>مطابق</t>
        </is>
      </c>
      <c r="I7" s="17" t="inlineStr"/>
      <c r="J7" s="17" t="inlineStr">
        <is>
          <t>تشغيل 20,000 حالة</t>
        </is>
      </c>
    </row>
    <row r="8">
      <c r="A8" s="16" t="n">
        <v>7</v>
      </c>
      <c r="B8" s="17" t="inlineStr">
        <is>
          <t>المسيّر (PAYX)</t>
        </is>
      </c>
      <c r="C8" s="17" t="inlineStr">
        <is>
          <t>X الإضافي</t>
        </is>
      </c>
      <c r="D8" s="17" t="inlineStr">
        <is>
          <t>هم/HR:engines/payx.js</t>
        </is>
      </c>
      <c r="E8" s="17" t="inlineStr">
        <is>
          <t>T÷أيام÷8×الساعات + الأساسي÷أيام÷8÷2×الساعات، أو مبلغ يدوي</t>
        </is>
      </c>
      <c r="F8" s="17" t="inlineStr">
        <is>
          <t>نحن/موقع:lib/calc/payx.ts</t>
        </is>
      </c>
      <c r="G8" s="17" t="inlineStr">
        <is>
          <t>نفسها</t>
        </is>
      </c>
      <c r="H8" s="18" t="inlineStr">
        <is>
          <t>مطابق</t>
        </is>
      </c>
      <c r="I8" s="17" t="inlineStr"/>
      <c r="J8" s="17" t="inlineStr">
        <is>
          <t>تشغيل 20,000 حالة</t>
        </is>
      </c>
    </row>
    <row r="9">
      <c r="A9" s="16" t="n">
        <v>8</v>
      </c>
      <c r="B9" s="17" t="inlineStr">
        <is>
          <t>المسيّر (PAYX)</t>
        </is>
      </c>
      <c r="C9" s="17" t="inlineStr">
        <is>
          <t>I نهاية العقد</t>
        </is>
      </c>
      <c r="D9" s="17" t="inlineStr">
        <is>
          <t>هم/HR:engines/payx.js</t>
        </is>
      </c>
      <c r="E9" s="17" t="inlineStr">
        <is>
          <t>EDATE(المباشرة، مدة العقد بالأشهر) أو آخر يوم</t>
        </is>
      </c>
      <c r="F9" s="17" t="inlineStr">
        <is>
          <t>نحن/موقع:lib/calc/payx.ts</t>
        </is>
      </c>
      <c r="G9" s="17" t="inlineStr">
        <is>
          <t>نفسها</t>
        </is>
      </c>
      <c r="H9" s="18" t="inlineStr">
        <is>
          <t>مطابق</t>
        </is>
      </c>
      <c r="I9" s="17" t="inlineStr"/>
      <c r="J9" s="17" t="inlineStr">
        <is>
          <t>تشغيل 20,000 حالة</t>
        </is>
      </c>
    </row>
    <row r="10">
      <c r="A10" s="16" t="n">
        <v>9</v>
      </c>
      <c r="B10" s="17" t="inlineStr">
        <is>
          <t>المسيّر (PAYX)</t>
        </is>
      </c>
      <c r="C10" s="17" t="inlineStr">
        <is>
          <t>آخر يوم شامل (+1 يوم)</t>
        </is>
      </c>
      <c r="D10" s="17" t="inlineStr">
        <is>
          <t>هم/HR:engines/payx.js</t>
        </is>
      </c>
      <c r="E10" s="17" t="inlineStr">
        <is>
          <t>آخر يوم يكتبه المستخدم يُحسب كاملاً</t>
        </is>
      </c>
      <c r="F10" s="17" t="inlineStr">
        <is>
          <t>نحن/موقع:lib/calc/payx.ts</t>
        </is>
      </c>
      <c r="G10" s="17" t="inlineStr">
        <is>
          <t>نفسها</t>
        </is>
      </c>
      <c r="H10" s="18" t="inlineStr">
        <is>
          <t>مطابق</t>
        </is>
      </c>
      <c r="I10" s="17" t="inlineStr"/>
      <c r="J10" s="17" t="inlineStr">
        <is>
          <t>تشغيل 20,000 حالة</t>
        </is>
      </c>
    </row>
    <row r="11">
      <c r="A11" s="16" t="n">
        <v>10</v>
      </c>
      <c r="B11" s="17" t="inlineStr">
        <is>
          <t>المسيّر (PAYX)</t>
        </is>
      </c>
      <c r="C11" s="17" t="inlineStr">
        <is>
          <t>AD/AE/AF مدة الخدمة سنة/شهر/يوم</t>
        </is>
      </c>
      <c r="D11" s="17" t="inlineStr">
        <is>
          <t>هم/HR:engines/payx.js</t>
        </is>
      </c>
      <c r="E11" s="17" t="inlineStr">
        <is>
          <t>DATEDIF مثل Excel (y / ym / md)</t>
        </is>
      </c>
      <c r="F11" s="17" t="inlineStr">
        <is>
          <t>نحن/موقع:lib/calc/payx.ts</t>
        </is>
      </c>
      <c r="G11" s="17" t="inlineStr">
        <is>
          <t>نفسها</t>
        </is>
      </c>
      <c r="H11" s="18" t="inlineStr">
        <is>
          <t>مطابق</t>
        </is>
      </c>
      <c r="I11" s="17" t="inlineStr"/>
      <c r="J11" s="17" t="inlineStr">
        <is>
          <t>تشغيل 20,000 حالة</t>
        </is>
      </c>
    </row>
    <row r="12">
      <c r="A12" s="16" t="n">
        <v>11</v>
      </c>
      <c r="B12" s="17" t="inlineStr">
        <is>
          <t>المسيّر (PAYX)</t>
        </is>
      </c>
      <c r="C12" s="17" t="inlineStr">
        <is>
          <t>K سنوات الخدمة</t>
        </is>
      </c>
      <c r="D12" s="17" t="inlineStr">
        <is>
          <t>هم/HR:engines/payx.js</t>
        </is>
      </c>
      <c r="E12" s="17" t="inlineStr">
        <is>
          <t>سنة + شهر÷12 + يوم÷360</t>
        </is>
      </c>
      <c r="F12" s="17" t="inlineStr">
        <is>
          <t>نحن/موقع:lib/calc/payx.ts</t>
        </is>
      </c>
      <c r="G12" s="17" t="inlineStr">
        <is>
          <t>نفسها</t>
        </is>
      </c>
      <c r="H12" s="18" t="inlineStr">
        <is>
          <t>مطابق</t>
        </is>
      </c>
      <c r="I12" s="17" t="inlineStr"/>
      <c r="J12" s="17" t="inlineStr">
        <is>
          <t>تشغيل 20,000 حالة</t>
        </is>
      </c>
    </row>
    <row r="13">
      <c r="A13" s="16" t="n">
        <v>12</v>
      </c>
      <c r="B13" s="17" t="inlineStr">
        <is>
          <t>المسيّر (PAYX)</t>
        </is>
      </c>
      <c r="C13" s="17" t="inlineStr">
        <is>
          <t>N رصيد الإجازة خلال التعاقد</t>
        </is>
      </c>
      <c r="D13" s="17" t="inlineStr">
        <is>
          <t>هم/HR:engines/payx.js</t>
        </is>
      </c>
      <c r="E13" s="17" t="inlineStr">
        <is>
          <t>K≤5: K×M · بعدها: 105 + (K−5)×30</t>
        </is>
      </c>
      <c r="F13" s="17" t="inlineStr">
        <is>
          <t>نحن/موقع:lib/calc/payx.ts</t>
        </is>
      </c>
      <c r="G13" s="17" t="inlineStr">
        <is>
          <t>K≤5: K×M · بعدها: 5×M + (K−5)×max(M,30)</t>
        </is>
      </c>
      <c r="H13" s="19" t="inlineStr">
        <is>
          <t>غير مطابق</t>
        </is>
      </c>
      <c r="I13" s="17" t="inlineStr">
        <is>
          <t>تصحيح J: يختلف لما الإجازة السنوية ≠ 21 يوم (مثال: عقد 30 يوم و8 سنوات)</t>
        </is>
      </c>
      <c r="J13" s="17" t="inlineStr">
        <is>
          <t>تشغيل 3,643 حالة مختلفة</t>
        </is>
      </c>
    </row>
    <row r="14">
      <c r="A14" s="16" t="n">
        <v>13</v>
      </c>
      <c r="B14" s="17" t="inlineStr">
        <is>
          <t>المسيّر (PAYX)</t>
        </is>
      </c>
      <c r="C14" s="17" t="inlineStr">
        <is>
          <t>O ما تم استحقاقه (أيام مأخوذة)</t>
        </is>
      </c>
      <c r="D14" s="17" t="inlineStr">
        <is>
          <t>هم/HR:engines/payx.js</t>
        </is>
      </c>
      <c r="E14" s="17" t="inlineStr">
        <is>
          <t>يدوي، أو تلقائي لو فيه سبب إنهاء</t>
        </is>
      </c>
      <c r="F14" s="17" t="inlineStr">
        <is>
          <t>نحن/موقع:lib/calc/payx.ts</t>
        </is>
      </c>
      <c r="G14" s="17" t="inlineStr">
        <is>
          <t>نفسها</t>
        </is>
      </c>
      <c r="H14" s="18" t="inlineStr">
        <is>
          <t>مطابق</t>
        </is>
      </c>
      <c r="I14" s="17" t="inlineStr"/>
      <c r="J14" s="17" t="inlineStr">
        <is>
          <t>تشغيل 20,000 حالة</t>
        </is>
      </c>
    </row>
    <row r="15">
      <c r="A15" s="16" t="n">
        <v>14</v>
      </c>
      <c r="B15" s="17" t="inlineStr">
        <is>
          <t>المسيّر (PAYX)</t>
        </is>
      </c>
      <c r="C15" s="17" t="inlineStr">
        <is>
          <t>P الرصيد المستحق</t>
        </is>
      </c>
      <c r="D15" s="17" t="inlineStr">
        <is>
          <t>هم/HR:engines/payx.js</t>
        </is>
      </c>
      <c r="E15" s="17" t="inlineStr">
        <is>
          <t>N − O</t>
        </is>
      </c>
      <c r="F15" s="17" t="inlineStr">
        <is>
          <t>نحن/موقع:lib/calc/payx.ts</t>
        </is>
      </c>
      <c r="G15" s="17" t="inlineStr">
        <is>
          <t>N − O</t>
        </is>
      </c>
      <c r="H15" s="19" t="inlineStr">
        <is>
          <t>غير مطابق</t>
        </is>
      </c>
      <c r="I15" s="17" t="inlineStr">
        <is>
          <t>يتبع فرق N (تصحيح J)</t>
        </is>
      </c>
      <c r="J15" s="17" t="inlineStr">
        <is>
          <t>تشغيل</t>
        </is>
      </c>
    </row>
    <row r="16">
      <c r="A16" s="16" t="n">
        <v>15</v>
      </c>
      <c r="B16" s="17" t="inlineStr">
        <is>
          <t>المسيّر (PAYX)</t>
        </is>
      </c>
      <c r="C16" s="17" t="inlineStr">
        <is>
          <t>AC بدل الإجازة</t>
        </is>
      </c>
      <c r="D16" s="17" t="inlineStr">
        <is>
          <t>هم/HR:engines/payx.js</t>
        </is>
      </c>
      <c r="E16" s="17" t="inlineStr">
        <is>
          <t>P × T ÷ 30 (مع سبب إنهاء) أو يدوي</t>
        </is>
      </c>
      <c r="F16" s="17" t="inlineStr">
        <is>
          <t>نحن/موقع:lib/calc/payx.ts</t>
        </is>
      </c>
      <c r="G16" s="17" t="inlineStr">
        <is>
          <t>نفسها</t>
        </is>
      </c>
      <c r="H16" s="19" t="inlineStr">
        <is>
          <t>غير مطابق</t>
        </is>
      </c>
      <c r="I16" s="17" t="inlineStr">
        <is>
          <t>يتبع فرق N (تصحيح J)</t>
        </is>
      </c>
      <c r="J16" s="17" t="inlineStr">
        <is>
          <t>تشغيل</t>
        </is>
      </c>
    </row>
    <row r="17">
      <c r="A17" s="16" t="n">
        <v>16</v>
      </c>
      <c r="B17" s="17" t="inlineStr">
        <is>
          <t>المسيّر (PAYX)</t>
        </is>
      </c>
      <c r="C17" s="17" t="inlineStr">
        <is>
          <t>AG تكلفة السنوات</t>
        </is>
      </c>
      <c r="D17" s="17" t="inlineStr">
        <is>
          <t>هم/HR:engines/payx.js</t>
        </is>
      </c>
      <c r="E17" s="17" t="inlineStr">
        <is>
          <t>≤5: سنوات×T×0.5 · بعدها: 5×T×0.5 + (سنوات−5)×T — صفر للاستشاري/التمهير/المتدرب</t>
        </is>
      </c>
      <c r="F17" s="17" t="inlineStr">
        <is>
          <t>نحن/موقع:lib/calc/payx.ts</t>
        </is>
      </c>
      <c r="G17" s="17" t="inlineStr">
        <is>
          <t>نفس المعادلة، صفر للتمهير فقط</t>
        </is>
      </c>
      <c r="H17" s="20" t="inlineStr">
        <is>
          <t>شبه مطابق</t>
        </is>
      </c>
      <c r="I17" s="17" t="inlineStr">
        <is>
          <t>noEos: الاستشاري والمتدرب يأخذون مكافأة عندنا وليس عندهم</t>
        </is>
      </c>
      <c r="J17" s="17" t="inlineStr">
        <is>
          <t>تشغيل 1,385 حالة</t>
        </is>
      </c>
    </row>
    <row r="18">
      <c r="A18" s="16" t="n">
        <v>17</v>
      </c>
      <c r="B18" s="17" t="inlineStr">
        <is>
          <t>المسيّر (PAYX)</t>
        </is>
      </c>
      <c r="C18" s="17" t="inlineStr">
        <is>
          <t>AH تكلفة الشهور</t>
        </is>
      </c>
      <c r="D18" s="17" t="inlineStr">
        <is>
          <t>هم/HR:engines/payx.js</t>
        </is>
      </c>
      <c r="E18" s="17" t="inlineStr">
        <is>
          <t>≥5 سنوات: شهور÷12×T · أقل: شهور÷12×T×0.5</t>
        </is>
      </c>
      <c r="F18" s="17" t="inlineStr">
        <is>
          <t>نحن/موقع:lib/calc/payx.ts</t>
        </is>
      </c>
      <c r="G18" s="17" t="inlineStr">
        <is>
          <t>نفسها</t>
        </is>
      </c>
      <c r="H18" s="20" t="inlineStr">
        <is>
          <t>شبه مطابق</t>
        </is>
      </c>
      <c r="I18" s="17" t="inlineStr">
        <is>
          <t>noEos فقط</t>
        </is>
      </c>
      <c r="J18" s="17" t="inlineStr">
        <is>
          <t>تشغيل</t>
        </is>
      </c>
    </row>
    <row r="19">
      <c r="A19" s="16" t="n">
        <v>18</v>
      </c>
      <c r="B19" s="17" t="inlineStr">
        <is>
          <t>المسيّر (PAYX)</t>
        </is>
      </c>
      <c r="C19" s="17" t="inlineStr">
        <is>
          <t>AI تكلفة الأيام</t>
        </is>
      </c>
      <c r="D19" s="17" t="inlineStr">
        <is>
          <t>هم/HR:engines/payx.js</t>
        </is>
      </c>
      <c r="E19" s="17" t="inlineStr">
        <is>
          <t>≥5 سنوات: أيام÷365×T · أقل: أيام÷360×T×0.5</t>
        </is>
      </c>
      <c r="F19" s="17" t="inlineStr">
        <is>
          <t>نحن/موقع:lib/calc/payx.ts</t>
        </is>
      </c>
      <c r="G19" s="17" t="inlineStr">
        <is>
          <t>نفسها</t>
        </is>
      </c>
      <c r="H19" s="20" t="inlineStr">
        <is>
          <t>شبه مطابق</t>
        </is>
      </c>
      <c r="I19" s="17" t="inlineStr">
        <is>
          <t>noEos فقط</t>
        </is>
      </c>
      <c r="J19" s="17" t="inlineStr">
        <is>
          <t>تشغيل</t>
        </is>
      </c>
    </row>
    <row r="20">
      <c r="A20" s="16" t="n">
        <v>19</v>
      </c>
      <c r="B20" s="17" t="inlineStr">
        <is>
          <t>المسيّر (PAYX)</t>
        </is>
      </c>
      <c r="C20" s="17" t="inlineStr">
        <is>
          <t>AJ إجمالي المكافأة</t>
        </is>
      </c>
      <c r="D20" s="17" t="inlineStr">
        <is>
          <t>هم/HR:engines/payx.js</t>
        </is>
      </c>
      <c r="E20" s="17" t="inlineStr">
        <is>
          <t>AG + AH + AI</t>
        </is>
      </c>
      <c r="F20" s="17" t="inlineStr">
        <is>
          <t>نحن/موقع:lib/calc/payx.ts</t>
        </is>
      </c>
      <c r="G20" s="17" t="inlineStr">
        <is>
          <t>AG + AH + AI</t>
        </is>
      </c>
      <c r="H20" s="20" t="inlineStr">
        <is>
          <t>شبه مطابق</t>
        </is>
      </c>
      <c r="I20" s="17" t="inlineStr">
        <is>
          <t>noEos فقط</t>
        </is>
      </c>
      <c r="J20" s="17" t="inlineStr">
        <is>
          <t>تشغيل</t>
        </is>
      </c>
    </row>
    <row r="21">
      <c r="A21" s="16" t="n">
        <v>20</v>
      </c>
      <c r="B21" s="17" t="inlineStr">
        <is>
          <t>المسيّر (PAYX)</t>
        </is>
      </c>
      <c r="C21" s="17" t="inlineStr">
        <is>
          <t>أسباب الإنهاء ومعامل المكافأة</t>
        </is>
      </c>
      <c r="D21" s="17" t="inlineStr">
        <is>
          <t>هم/HR:engines/payx.js</t>
        </is>
      </c>
      <c r="E21" s="17" t="inlineStr">
        <is>
          <t>8 أسباب · الاستقالة: &lt;2: 0، ≤5: ⅓، ≤10: ⅔، أكثر: كاملة</t>
        </is>
      </c>
      <c r="F21" s="17" t="inlineStr">
        <is>
          <t>نحن/موقع:lib/calc/payx.ts</t>
        </is>
      </c>
      <c r="G21" s="17" t="inlineStr">
        <is>
          <t>9 أسباب (+م.87) · الاستقالة: &lt;2: 0، ≤5: ⅓، &lt;10: ⅔، ≥10: كاملة</t>
        </is>
      </c>
      <c r="H21" s="19" t="inlineStr">
        <is>
          <t>غير مطابق</t>
        </is>
      </c>
      <c r="I21" s="17" t="inlineStr">
        <is>
          <t>تصحيح A (10 سنوات بالضبط) + تصحيح D (م.87)</t>
        </is>
      </c>
      <c r="J21" s="17" t="inlineStr">
        <is>
          <t>تشغيل + حالات حدية</t>
        </is>
      </c>
    </row>
    <row r="22">
      <c r="A22" s="16" t="n">
        <v>21</v>
      </c>
      <c r="B22" s="17" t="inlineStr">
        <is>
          <t>المسيّر (PAYX)</t>
        </is>
      </c>
      <c r="C22" s="17" t="inlineStr">
        <is>
          <t>التعرف على سبب الإنهاء من النص</t>
        </is>
      </c>
      <c r="D22" s="17" t="inlineStr">
        <is>
          <t>هم/HR:engines/payx.js</t>
        </is>
      </c>
      <c r="E22" s="17" t="inlineStr">
        <is>
          <t>مطابقة نص عربي مع توحيد الحروف</t>
        </is>
      </c>
      <c r="F22" s="17" t="inlineStr">
        <is>
          <t>نحن/موقع:lib/calc/payx.ts</t>
        </is>
      </c>
      <c r="G22" s="17" t="inlineStr">
        <is>
          <t>نفسها + التعرف على م.87 / القوة القاهرة</t>
        </is>
      </c>
      <c r="H22" s="20" t="inlineStr">
        <is>
          <t>شبه مطابق</t>
        </is>
      </c>
      <c r="I22" s="17" t="inlineStr">
        <is>
          <t>م.87 غير موجودة عندهم</t>
        </is>
      </c>
      <c r="J22" s="17" t="inlineStr">
        <is>
          <t>قراءة</t>
        </is>
      </c>
    </row>
    <row r="23">
      <c r="A23" s="16" t="n">
        <v>22</v>
      </c>
      <c r="B23" s="17" t="inlineStr">
        <is>
          <t>المسيّر (PAYX)</t>
        </is>
      </c>
      <c r="C23" s="17" t="inlineStr">
        <is>
          <t>AK مكافأة نهاية الخدمة</t>
        </is>
      </c>
      <c r="D23" s="17" t="inlineStr">
        <is>
          <t>هم/HR:engines/payx.js</t>
        </is>
      </c>
      <c r="E23" s="17" t="inlineStr">
        <is>
          <t>AJ × معامل السبب</t>
        </is>
      </c>
      <c r="F23" s="17" t="inlineStr">
        <is>
          <t>نحن/موقع:lib/calc/payx.ts</t>
        </is>
      </c>
      <c r="G23" s="17" t="inlineStr">
        <is>
          <t>AJ × معامل السبب</t>
        </is>
      </c>
      <c r="H23" s="19" t="inlineStr">
        <is>
          <t>غير مطابق</t>
        </is>
      </c>
      <c r="I23" s="17" t="inlineStr">
        <is>
          <t>يتبع A وD وnoEos</t>
        </is>
      </c>
      <c r="J23" s="17" t="inlineStr">
        <is>
          <t>تشغيل 1,464 حالة</t>
        </is>
      </c>
    </row>
    <row r="24">
      <c r="A24" s="16" t="n">
        <v>23</v>
      </c>
      <c r="B24" s="17" t="inlineStr">
        <is>
          <t>المسيّر (PAYX)</t>
        </is>
      </c>
      <c r="C24" s="17" t="inlineStr">
        <is>
          <t>AM إجمالي المستحق</t>
        </is>
      </c>
      <c r="D24" s="17" t="inlineStr">
        <is>
          <t>هم/HR:engines/payx.js</t>
        </is>
      </c>
      <c r="E24" s="17" t="inlineStr">
        <is>
          <t>V+X+Y+Z+AA+AB+AC+AK</t>
        </is>
      </c>
      <c r="F24" s="17" t="inlineStr">
        <is>
          <t>نحن/موقع:lib/calc/payx.ts</t>
        </is>
      </c>
      <c r="G24" s="17" t="inlineStr">
        <is>
          <t>نفسها</t>
        </is>
      </c>
      <c r="H24" s="19" t="inlineStr">
        <is>
          <t>غير مطابق</t>
        </is>
      </c>
      <c r="I24" s="17" t="inlineStr">
        <is>
          <t>يتبع فروق AC وAK</t>
        </is>
      </c>
      <c r="J24" s="17" t="inlineStr">
        <is>
          <t>تشغيل 4,814 حالة</t>
        </is>
      </c>
    </row>
    <row r="25">
      <c r="A25" s="16" t="n">
        <v>24</v>
      </c>
      <c r="B25" s="17" t="inlineStr">
        <is>
          <t>المسيّر (PAYX)</t>
        </is>
      </c>
      <c r="C25" s="17" t="inlineStr">
        <is>
          <t>أيام التأمينات</t>
        </is>
      </c>
      <c r="D25" s="17" t="inlineStr">
        <is>
          <t>هم/HR:engines/payx.js</t>
        </is>
      </c>
      <c r="E25" s="17">
        <f> أيام العمل ما لم تُحدد</f>
        <v/>
      </c>
      <c r="F25" s="17" t="inlineStr">
        <is>
          <t>نحن/موقع:lib/calc/payx.ts</t>
        </is>
      </c>
      <c r="G25" s="17" t="inlineStr">
        <is>
          <t>نفسها</t>
        </is>
      </c>
      <c r="H25" s="18" t="inlineStr">
        <is>
          <t>مطابق</t>
        </is>
      </c>
      <c r="I25" s="17" t="inlineStr"/>
      <c r="J25" s="17" t="inlineStr">
        <is>
          <t>تشغيل</t>
        </is>
      </c>
    </row>
    <row r="26">
      <c r="A26" s="16" t="n">
        <v>25</v>
      </c>
      <c r="B26" s="17" t="inlineStr">
        <is>
          <t>المسيّر (PAYX)</t>
        </is>
      </c>
      <c r="C26" s="17" t="inlineStr">
        <is>
          <t>AQ الأجر الخاضع للتأمينات</t>
        </is>
      </c>
      <c r="D26" s="17" t="inlineStr">
        <is>
          <t>هم/HR:engines/payx.js</t>
        </is>
      </c>
      <c r="E26" s="17" t="inlineStr">
        <is>
          <t>min(الحد، (الأساسي + الأساسي×25%) × أيام÷الشهر)</t>
        </is>
      </c>
      <c r="F26" s="17" t="inlineStr">
        <is>
          <t>نحن/موقع:lib/calc/payx.ts</t>
        </is>
      </c>
      <c r="G26" s="17" t="inlineStr">
        <is>
          <t>min(الحد، (الأساسي + السكن الفعلي) × أيام÷الشهر)</t>
        </is>
      </c>
      <c r="H26" s="19" t="inlineStr">
        <is>
          <t>غير مطابق</t>
        </is>
      </c>
      <c r="I26" s="17" t="inlineStr">
        <is>
          <t>تصحيح G: يختلف لما السكن ≠ 25% من الأساسي</t>
        </is>
      </c>
      <c r="J26" s="17" t="inlineStr">
        <is>
          <t>تشغيل</t>
        </is>
      </c>
    </row>
    <row r="27">
      <c r="A27" s="16" t="n">
        <v>26</v>
      </c>
      <c r="B27" s="17" t="inlineStr">
        <is>
          <t>المسيّر (PAYX)</t>
        </is>
      </c>
      <c r="C27" s="17" t="inlineStr">
        <is>
          <t>AO تأمينات الموظف</t>
        </is>
      </c>
      <c r="D27" s="17" t="inlineStr">
        <is>
          <t>هم/HR:engines/payx.js</t>
        </is>
      </c>
      <c r="E27" s="17" t="inlineStr">
        <is>
          <t>الأجر الخاضع × نسبة الموظف (يطابق/لا يطابق/55+)</t>
        </is>
      </c>
      <c r="F27" s="17" t="inlineStr">
        <is>
          <t>نحن/موقع:lib/calc/payx.ts</t>
        </is>
      </c>
      <c r="G27" s="17" t="inlineStr">
        <is>
          <t>نفسها على الأجر الخاضع الفعلي</t>
        </is>
      </c>
      <c r="H27" s="19" t="inlineStr">
        <is>
          <t>غير مطابق</t>
        </is>
      </c>
      <c r="I27" s="17" t="inlineStr">
        <is>
          <t>تصحيح G</t>
        </is>
      </c>
      <c r="J27" s="17" t="inlineStr">
        <is>
          <t>تشغيل 2,613 حالة</t>
        </is>
      </c>
    </row>
    <row r="28">
      <c r="A28" s="16" t="n">
        <v>27</v>
      </c>
      <c r="B28" s="17" t="inlineStr">
        <is>
          <t>المسيّر (PAYX)</t>
        </is>
      </c>
      <c r="C28" s="17" t="inlineStr">
        <is>
          <t>AR تأمينات الشركة</t>
        </is>
      </c>
      <c r="D28" s="17" t="inlineStr">
        <is>
          <t>هم/HR:engines/payx.js</t>
        </is>
      </c>
      <c r="E28" s="17" t="inlineStr">
        <is>
          <t>الأجر الخاضع × نسبة الشركة، وغير السعودي 2%</t>
        </is>
      </c>
      <c r="F28" s="17" t="inlineStr">
        <is>
          <t>نحن/موقع:lib/calc/payx.ts</t>
        </is>
      </c>
      <c r="G28" s="17" t="inlineStr">
        <is>
          <t>نفسها على الأجر الخاضع الفعلي</t>
        </is>
      </c>
      <c r="H28" s="19" t="inlineStr">
        <is>
          <t>غير مطابق</t>
        </is>
      </c>
      <c r="I28" s="17" t="inlineStr">
        <is>
          <t>تصحيح G</t>
        </is>
      </c>
      <c r="J28" s="17" t="inlineStr">
        <is>
          <t>تشغيل 4,281 حالة</t>
        </is>
      </c>
    </row>
    <row r="29">
      <c r="A29" s="16" t="n">
        <v>28</v>
      </c>
      <c r="B29" s="17" t="inlineStr">
        <is>
          <t>المسيّر (PAYX)</t>
        </is>
      </c>
      <c r="C29" s="17" t="inlineStr">
        <is>
          <t>عمر 55 سنة</t>
        </is>
      </c>
      <c r="D29" s="17" t="inlineStr">
        <is>
          <t>هم/HR:engines/payx.js</t>
        </is>
      </c>
      <c r="E29" s="17" t="inlineStr">
        <is>
          <t>DATEDIF(الميلاد، آخر الشهر) ≥ 55</t>
        </is>
      </c>
      <c r="F29" s="17" t="inlineStr">
        <is>
          <t>نحن/موقع:lib/calc/payx.ts</t>
        </is>
      </c>
      <c r="G29" s="17" t="inlineStr">
        <is>
          <t>نفسها</t>
        </is>
      </c>
      <c r="H29" s="18" t="inlineStr">
        <is>
          <t>مطابق</t>
        </is>
      </c>
      <c r="I29" s="17" t="inlineStr"/>
      <c r="J29" s="17" t="inlineStr">
        <is>
          <t>تشغيل</t>
        </is>
      </c>
    </row>
    <row r="30">
      <c r="A30" s="16" t="n">
        <v>29</v>
      </c>
      <c r="B30" s="17" t="inlineStr">
        <is>
          <t>المسيّر (PAYX)</t>
        </is>
      </c>
      <c r="C30" s="17" t="inlineStr">
        <is>
          <t>AU إجمالي المستقطع</t>
        </is>
      </c>
      <c r="D30" s="17" t="inlineStr">
        <is>
          <t>هم/HR:engines/payx.js</t>
        </is>
      </c>
      <c r="E30" s="17" t="inlineStr">
        <is>
          <t>أخرى + تأمينات الموظف + سلف + ضريبة مصر + شهداء مصر</t>
        </is>
      </c>
      <c r="F30" s="17" t="inlineStr">
        <is>
          <t>نحن/موقع:lib/calc/payx.ts</t>
        </is>
      </c>
      <c r="G30" s="17" t="inlineStr">
        <is>
          <t>أخرى + تأمينات الموظف + سلف</t>
        </is>
      </c>
      <c r="H30" s="20" t="inlineStr">
        <is>
          <t>شبه مطابق</t>
        </is>
      </c>
      <c r="I30" s="17" t="inlineStr">
        <is>
          <t>مطابق للسعودية؛ عندهم بنود مصر</t>
        </is>
      </c>
      <c r="J30" s="17" t="inlineStr">
        <is>
          <t>تشغيل</t>
        </is>
      </c>
    </row>
    <row r="31">
      <c r="A31" s="16" t="n">
        <v>30</v>
      </c>
      <c r="B31" s="17" t="inlineStr">
        <is>
          <t>المسيّر (PAYX)</t>
        </is>
      </c>
      <c r="C31" s="17" t="inlineStr">
        <is>
          <t>AV / AW الصافي والصافي بالريال</t>
        </is>
      </c>
      <c r="D31" s="17" t="inlineStr">
        <is>
          <t>هم/HR:engines/payx.js</t>
        </is>
      </c>
      <c r="E31" s="17" t="inlineStr">
        <is>
          <t>AM − AU ، × سعر الصرف</t>
        </is>
      </c>
      <c r="F31" s="17" t="inlineStr">
        <is>
          <t>نحن/موقع:lib/calc/payx.ts</t>
        </is>
      </c>
      <c r="G31" s="17" t="inlineStr">
        <is>
          <t>نفسها</t>
        </is>
      </c>
      <c r="H31" s="19" t="inlineStr">
        <is>
          <t>غير مطابق</t>
        </is>
      </c>
      <c r="I31" s="17" t="inlineStr">
        <is>
          <t>يتبع الفروق أعلاه</t>
        </is>
      </c>
      <c r="J31" s="17" t="inlineStr">
        <is>
          <t>تشغيل 7,057 حالة</t>
        </is>
      </c>
    </row>
    <row r="32">
      <c r="A32" s="16" t="n">
        <v>31</v>
      </c>
      <c r="B32" s="17" t="inlineStr">
        <is>
          <t>المسيّر (PAYX)</t>
        </is>
      </c>
      <c r="C32" s="17" t="inlineStr">
        <is>
          <t>ضريبة الدخل والشهداء (مصر)</t>
        </is>
      </c>
      <c r="D32" s="17" t="inlineStr">
        <is>
          <t>هم/HR:engines/country.js egCompute</t>
        </is>
      </c>
      <c r="E32" s="17" t="inlineStr">
        <is>
          <t>شرائح ضريبية سنوية + 0.05% شهداء</t>
        </is>
      </c>
      <c r="F32" s="17" t="inlineStr">
        <is>
          <t>—</t>
        </is>
      </c>
      <c r="G32" s="17" t="inlineStr">
        <is>
          <t>—</t>
        </is>
      </c>
      <c r="H32" s="21" t="inlineStr">
        <is>
          <t>عندهم فقط</t>
        </is>
      </c>
      <c r="I32" s="17" t="inlineStr">
        <is>
          <t>دعم دولة مصر</t>
        </is>
      </c>
      <c r="J32" s="17" t="inlineStr">
        <is>
          <t>قراءة</t>
        </is>
      </c>
    </row>
    <row r="33">
      <c r="A33" s="16" t="n">
        <v>32</v>
      </c>
      <c r="B33" s="17" t="inlineStr">
        <is>
          <t>صفوف المسيّر</t>
        </is>
      </c>
      <c r="C33" s="17" t="inlineStr">
        <is>
          <t>من يدخل المسيّر</t>
        </is>
      </c>
      <c r="D33" s="17" t="inlineStr">
        <is>
          <t>هم/HR:engines/payrollRows.js buildRows</t>
        </is>
      </c>
      <c r="E33" s="17" t="inlineStr">
        <is>
          <t>الحاليون عدا بالساعة و consultant_external و excludeFromPayroll + المنتهون داخل الشهر</t>
        </is>
      </c>
      <c r="F33" s="17" t="inlineStr">
        <is>
          <t>نحن/موقع:lib/calc/payroll.ts buildRows</t>
        </is>
      </c>
      <c r="G33" s="17" t="inlineStr">
        <is>
          <t>الحاليون عدا بالساعة و exclude_from_payroll و«البوصيري» (اسم مكتوب في الكود) + المنتهون داخل الشهر</t>
        </is>
      </c>
      <c r="H33" s="20" t="inlineStr">
        <is>
          <t>شبه مطابق</t>
        </is>
      </c>
      <c r="I33" s="17" t="inlineStr">
        <is>
          <t>شرط الاستشاري الخارجي عندهم، واسم مكتوب يدوياً عندنا</t>
        </is>
      </c>
      <c r="J33" s="17" t="inlineStr">
        <is>
          <t>قراءة</t>
        </is>
      </c>
    </row>
    <row r="34">
      <c r="A34" s="16" t="n">
        <v>33</v>
      </c>
      <c r="B34" s="17" t="inlineStr">
        <is>
          <t>صفوف المسيّر</t>
        </is>
      </c>
      <c r="C34" s="17" t="inlineStr">
        <is>
          <t>أيام العمل/التأمينات الافتراضية</t>
        </is>
      </c>
      <c r="D34" s="17" t="inlineStr">
        <is>
          <t>هم/HR:engines/payrollRows.js defaultInsDays</t>
        </is>
      </c>
      <c r="E34" s="17" t="inlineStr">
        <is>
          <t>من يوم المباشرة أو حتى آخر يوم داخل الشهر</t>
        </is>
      </c>
      <c r="F34" s="17" t="inlineStr">
        <is>
          <t>نحن/موقع:lib/calc/payroll.ts defaultInsDays</t>
        </is>
      </c>
      <c r="G34" s="17" t="inlineStr">
        <is>
          <t>نفسها</t>
        </is>
      </c>
      <c r="H34" s="18" t="inlineStr">
        <is>
          <t>مطابق</t>
        </is>
      </c>
      <c r="I34" s="17" t="inlineStr"/>
      <c r="J34" s="17" t="inlineStr">
        <is>
          <t>قراءة</t>
        </is>
      </c>
    </row>
    <row r="35">
      <c r="A35" s="16" t="n">
        <v>34</v>
      </c>
      <c r="B35" s="17" t="inlineStr">
        <is>
          <t>صفوف المسيّر</t>
        </is>
      </c>
      <c r="C35" s="17" t="inlineStr">
        <is>
          <t>حالة التأمينات الافتراضية</t>
        </is>
      </c>
      <c r="D35" s="17" t="inlineStr">
        <is>
          <t>هم/HR:engines/payrollRows.js insDefault</t>
        </is>
      </c>
      <c r="E35" s="17" t="inlineStr">
        <is>
          <t>غير خاضع / لا يطبق / غير سعودي / يطابق / لا يطابق</t>
        </is>
      </c>
      <c r="F35" s="17" t="inlineStr">
        <is>
          <t>نحن/موقع:lib/calc/payroll.ts insDefault</t>
        </is>
      </c>
      <c r="G35" s="17" t="inlineStr">
        <is>
          <t>نفسها</t>
        </is>
      </c>
      <c r="H35" s="18" t="inlineStr">
        <is>
          <t>مطابق</t>
        </is>
      </c>
      <c r="I35" s="17" t="inlineStr"/>
      <c r="J35" s="17" t="inlineStr">
        <is>
          <t>قراءة</t>
        </is>
      </c>
    </row>
    <row r="36">
      <c r="A36" s="16" t="n">
        <v>35</v>
      </c>
      <c r="B36" s="17" t="inlineStr">
        <is>
          <t>صفوف المسيّر</t>
        </is>
      </c>
      <c r="C36" s="17" t="inlineStr">
        <is>
          <t>القيم الافتراضية عند ↺</t>
        </is>
      </c>
      <c r="D36" s="17" t="inlineStr">
        <is>
          <t>هم/HR:engines/payrollRows.js empDefault</t>
        </is>
      </c>
      <c r="E36" s="17" t="inlineStr">
        <is>
          <t>من بيانات الموظف</t>
        </is>
      </c>
      <c r="F36" s="17" t="inlineStr">
        <is>
          <t>نحن/موقع:lib/calc/payroll.ts empDefault</t>
        </is>
      </c>
      <c r="G36" s="17" t="inlineStr">
        <is>
          <t>نفسها</t>
        </is>
      </c>
      <c r="H36" s="18" t="inlineStr">
        <is>
          <t>مطابق</t>
        </is>
      </c>
      <c r="I36" s="17" t="inlineStr"/>
      <c r="J36" s="17" t="inlineStr">
        <is>
          <t>قراءة</t>
        </is>
      </c>
    </row>
    <row r="37">
      <c r="A37" s="16" t="n">
        <v>36</v>
      </c>
      <c r="B37" s="17" t="inlineStr">
        <is>
          <t>صفوف المسيّر</t>
        </is>
      </c>
      <c r="C37" s="17" t="inlineStr">
        <is>
          <t>أيام الإجازة السنوية في الصف</t>
        </is>
      </c>
      <c r="D37" s="17" t="inlineStr">
        <is>
          <t>هم/HR:engines/payrollRows.js enrich</t>
        </is>
      </c>
      <c r="E37" s="17" t="inlineStr">
        <is>
          <t>من العقد leaveDaysContract (ولمصر حسب العمر والخدمة)</t>
        </is>
      </c>
      <c r="F37" s="17" t="inlineStr">
        <is>
          <t>نحن/موقع:lib/calc/payroll.ts enrich</t>
        </is>
      </c>
      <c r="G37" s="17" t="inlineStr">
        <is>
          <t>annual_leave_days أو 21</t>
        </is>
      </c>
      <c r="H37" s="20" t="inlineStr">
        <is>
          <t>شبه مطابق</t>
        </is>
      </c>
      <c r="I37" s="17" t="inlineStr">
        <is>
          <t>نفس المصدر للسعودية؛ مصر عندهم فقط</t>
        </is>
      </c>
      <c r="J37" s="17" t="inlineStr">
        <is>
          <t>قراءة</t>
        </is>
      </c>
    </row>
    <row r="38">
      <c r="A38" s="16" t="n">
        <v>37</v>
      </c>
      <c r="B38" s="17" t="inlineStr">
        <is>
          <t>صفوف المسيّر</t>
        </is>
      </c>
      <c r="C38" s="17" t="inlineStr">
        <is>
          <t>تمرير noEos للمحرك</t>
        </is>
      </c>
      <c r="D38" s="17" t="inlineStr">
        <is>
          <t>هم/HR:engines/payrollRows.js recalc</t>
        </is>
      </c>
      <c r="E38" s="17" t="inlineStr">
        <is>
          <t>noEos(e) = استشاري/تمهير/متدرب</t>
        </is>
      </c>
      <c r="F38" s="17" t="inlineStr">
        <is>
          <t>نحن/موقع:lib/calc/payroll.ts recalc</t>
        </is>
      </c>
      <c r="G38" s="17" t="inlineStr">
        <is>
          <t>لا يُمرَّر</t>
        </is>
      </c>
      <c r="H38" s="19" t="inlineStr">
        <is>
          <t>غير مطابق</t>
        </is>
      </c>
      <c r="I38" s="17" t="inlineStr">
        <is>
          <t>سبب فرق AG..AK</t>
        </is>
      </c>
      <c r="J38" s="17" t="inlineStr">
        <is>
          <t>قراءة</t>
        </is>
      </c>
    </row>
    <row r="39">
      <c r="A39" s="16" t="n">
        <v>38</v>
      </c>
      <c r="B39" s="17" t="inlineStr">
        <is>
          <t>صفوف المسيّر</t>
        </is>
      </c>
      <c r="C39" s="17" t="inlineStr">
        <is>
          <t>الإعفاء من التأمينات مع التعديل اليدوي</t>
        </is>
      </c>
      <c r="D39" s="17" t="inlineStr">
        <is>
          <t>هم/HR:engines/payrollRows.js recalc</t>
        </is>
      </c>
      <c r="E39" s="17" t="inlineStr">
        <is>
          <t>معفى ما لم يغيّر HR الحالة يدوياً</t>
        </is>
      </c>
      <c r="F39" s="17" t="inlineStr">
        <is>
          <t>نحن/موقع:lib/calc/payroll.ts recalc</t>
        </is>
      </c>
      <c r="G39" s="17" t="inlineStr">
        <is>
          <t>نفسها</t>
        </is>
      </c>
      <c r="H39" s="18" t="inlineStr">
        <is>
          <t>مطابق</t>
        </is>
      </c>
      <c r="I39" s="17" t="inlineStr"/>
      <c r="J39" s="17" t="inlineStr">
        <is>
          <t>قراءة</t>
        </is>
      </c>
    </row>
    <row r="40">
      <c r="A40" s="16" t="n">
        <v>39</v>
      </c>
      <c r="B40" s="17" t="inlineStr">
        <is>
          <t>صفوف المسيّر</t>
        </is>
      </c>
      <c r="C40" s="17" t="inlineStr">
        <is>
          <t>أيام العمل من آخر يوم</t>
        </is>
      </c>
      <c r="D40" s="17" t="inlineStr">
        <is>
          <t>هم/HR:engines/payrollRows.js autoWork</t>
        </is>
      </c>
      <c r="E40" s="17" t="inlineStr">
        <is>
          <t>يوم آخر يوم داخل الشهر، أو صفر قبله</t>
        </is>
      </c>
      <c r="F40" s="17" t="inlineStr">
        <is>
          <t>نحن/موقع:lib/calc/payroll.ts autoWork</t>
        </is>
      </c>
      <c r="G40" s="17" t="inlineStr">
        <is>
          <t>نفسها</t>
        </is>
      </c>
      <c r="H40" s="18" t="inlineStr">
        <is>
          <t>مطابق</t>
        </is>
      </c>
      <c r="I40" s="17" t="inlineStr"/>
      <c r="J40" s="17" t="inlineStr">
        <is>
          <t>قراءة</t>
        </is>
      </c>
    </row>
    <row r="41">
      <c r="A41" s="16" t="n">
        <v>40</v>
      </c>
      <c r="B41" s="17" t="inlineStr">
        <is>
          <t>صفوف المسيّر</t>
        </is>
      </c>
      <c r="C41" s="17" t="inlineStr">
        <is>
          <t>تعديل حقل في الصف</t>
        </is>
      </c>
      <c r="D41" s="17" t="inlineStr">
        <is>
          <t>هم/HR:engines/payrollRows.js updateField</t>
        </is>
      </c>
      <c r="E41" s="17" t="inlineStr">
        <is>
          <t>تحويل رقمي + تسجيل التعديل اليدوي + إعادة الحساب</t>
        </is>
      </c>
      <c r="F41" s="17" t="inlineStr">
        <is>
          <t>نحن/موقع:payroll/page.tsx</t>
        </is>
      </c>
      <c r="G41" s="17" t="inlineStr">
        <is>
          <t>نفسها</t>
        </is>
      </c>
      <c r="H41" s="18" t="inlineStr">
        <is>
          <t>مطابق</t>
        </is>
      </c>
      <c r="I41" s="17" t="inlineStr"/>
      <c r="J41" s="17" t="inlineStr">
        <is>
          <t>قراءة</t>
        </is>
      </c>
    </row>
    <row r="42">
      <c r="A42" s="16" t="n">
        <v>41</v>
      </c>
      <c r="B42" s="17" t="inlineStr">
        <is>
          <t>صفوف المسيّر</t>
        </is>
      </c>
      <c r="C42" s="17" t="inlineStr">
        <is>
          <t>ترحيل الإضافي القديم لمبلغ يدوي</t>
        </is>
      </c>
      <c r="D42" s="17" t="inlineStr">
        <is>
          <t>هم/HR:engines/payrollRows.js enrich</t>
        </is>
      </c>
      <c r="E42" s="17" t="inlineStr">
        <is>
          <t>لو صف قديم فيه إضافي بدون ساعات</t>
        </is>
      </c>
      <c r="F42" s="17" t="inlineStr">
        <is>
          <t>—</t>
        </is>
      </c>
      <c r="G42" s="17" t="inlineStr">
        <is>
          <t>—</t>
        </is>
      </c>
      <c r="H42" s="21" t="inlineStr">
        <is>
          <t>عندهم فقط</t>
        </is>
      </c>
      <c r="I42" s="17" t="inlineStr"/>
      <c r="J42" s="17" t="inlineStr">
        <is>
          <t>قراءة</t>
        </is>
      </c>
    </row>
    <row r="43">
      <c r="A43" s="16" t="n">
        <v>42</v>
      </c>
      <c r="B43" s="17" t="inlineStr">
        <is>
          <t>صفوف المسيّر</t>
        </is>
      </c>
      <c r="C43" s="17" t="inlineStr">
        <is>
          <t>مجاميع المسيّر</t>
        </is>
      </c>
      <c r="D43" s="17" t="inlineStr">
        <is>
          <t>هم/HR:engines/payrollRows.js sums</t>
        </is>
      </c>
      <c r="E43" s="17" t="inlineStr">
        <is>
          <t>20 عموداً (مع الضريبة والشهداء)</t>
        </is>
      </c>
      <c r="F43" s="17" t="inlineStr">
        <is>
          <t>نحن/موقع:lib/calc/payroll.ts sums</t>
        </is>
      </c>
      <c r="G43" s="17" t="inlineStr">
        <is>
          <t>18 عموداً</t>
        </is>
      </c>
      <c r="H43" s="20" t="inlineStr">
        <is>
          <t>شبه مطابق</t>
        </is>
      </c>
      <c r="I43" s="17" t="inlineStr">
        <is>
          <t>بنود مصر فقط</t>
        </is>
      </c>
      <c r="J43" s="17" t="inlineStr">
        <is>
          <t>قراءة</t>
        </is>
      </c>
    </row>
    <row r="44">
      <c r="A44" s="16" t="n">
        <v>43</v>
      </c>
      <c r="B44" s="17" t="inlineStr">
        <is>
          <t>صفوف المسيّر</t>
        </is>
      </c>
      <c r="C44" s="17" t="inlineStr">
        <is>
          <t>أعمدة تصدير المسيّر</t>
        </is>
      </c>
      <c r="D44" s="17" t="inlineStr">
        <is>
          <t>هم/HR:pages/payroll/output.js</t>
        </is>
      </c>
      <c r="E44" s="17" t="inlineStr">
        <is>
          <t>نفس أعمدة Excel من A إلى AW</t>
        </is>
      </c>
      <c r="F44" s="17" t="inlineStr">
        <is>
          <t>نحن/موقع:lib/calc/payroll.ts rowValue</t>
        </is>
      </c>
      <c r="G44" s="17" t="inlineStr">
        <is>
          <t>نفسها</t>
        </is>
      </c>
      <c r="H44" s="18" t="inlineStr">
        <is>
          <t>مطابق</t>
        </is>
      </c>
      <c r="I44" s="17" t="inlineStr"/>
      <c r="J44" s="17" t="inlineStr">
        <is>
          <t>قراءة</t>
        </is>
      </c>
    </row>
    <row r="45">
      <c r="A45" s="16" t="n">
        <v>44</v>
      </c>
      <c r="B45" s="17" t="inlineStr">
        <is>
          <t>صفوف المسيّر</t>
        </is>
      </c>
      <c r="C45" s="17" t="inlineStr">
        <is>
          <t>ما تم استحقاقه (usedThrough)</t>
        </is>
      </c>
      <c r="D45" s="17" t="inlineStr">
        <is>
          <t>هم/HR:engines/payrollRows.js usedThrough</t>
        </is>
      </c>
      <c r="E45" s="17" t="inlineStr">
        <is>
          <t>مجموع المأخوذ من أول سنة حتى آخر يوم</t>
        </is>
      </c>
      <c r="F45" s="17" t="inlineStr">
        <is>
          <t>نحن/خادم:services/leave.py used_through</t>
        </is>
      </c>
      <c r="G45" s="17" t="inlineStr">
        <is>
          <t>نفسها</t>
        </is>
      </c>
      <c r="H45" s="20" t="inlineStr">
        <is>
          <t>شبه مطابق</t>
        </is>
      </c>
      <c r="I45" s="17" t="inlineStr">
        <is>
          <t>عندهم تُستبعد أيام السنوية المغطاة بمرضية</t>
        </is>
      </c>
      <c r="J45" s="17" t="inlineStr">
        <is>
          <t>تشغيل 19 من 300 مختلفة</t>
        </is>
      </c>
    </row>
    <row r="46">
      <c r="A46" s="16" t="n">
        <v>45</v>
      </c>
      <c r="B46" s="17" t="inlineStr">
        <is>
          <t>التأمينات</t>
        </is>
      </c>
      <c r="C46" s="17" t="inlineStr">
        <is>
          <t>جدول النسب حسب التاريخ</t>
        </is>
      </c>
      <c r="D46" s="17" t="inlineStr">
        <is>
          <t>هم/HR:engines/insurance.js getInsSettings</t>
        </is>
      </c>
      <c r="E46" s="17" t="inlineStr">
        <is>
          <t>جدول تلقائي: الجديد 10.25/12.25 من 1/7/2025 ويزيد 0.5% كل يوليو حتى 11.75/13.75، القديم ثابت 9.75/11.75</t>
        </is>
      </c>
      <c r="F46" s="17" t="inlineStr">
        <is>
          <t>نحن/خادم:routers/canonical.py GOSI_DEFAULT</t>
        </is>
      </c>
      <c r="G46" s="17" t="inlineStr">
        <is>
          <t>فترتان: 1/1/2026 (10.75/12.75) و1/7/2027 (11.25/13.25، والقديم 10.25/12.25)</t>
        </is>
      </c>
      <c r="H46" s="19" t="inlineStr">
        <is>
          <t>غير مطابق</t>
        </is>
      </c>
      <c r="I46" s="17" t="inlineStr">
        <is>
          <t>72 من 84 شهراً مختلفة (2024–2030). جدولهم أصح نظامياً</t>
        </is>
      </c>
      <c r="J46" s="17" t="inlineStr">
        <is>
          <t>تشغيل 84 شهراً</t>
        </is>
      </c>
    </row>
    <row r="47">
      <c r="A47" s="16" t="n">
        <v>46</v>
      </c>
      <c r="B47" s="17" t="inlineStr">
        <is>
          <t>التأمينات</t>
        </is>
      </c>
      <c r="C47" s="17" t="inlineStr">
        <is>
          <t>النسب قبل 2026</t>
        </is>
      </c>
      <c r="D47" s="17" t="inlineStr">
        <is>
          <t>هم/HR:engines/insurance.js</t>
        </is>
      </c>
      <c r="E47" s="17" t="inlineStr">
        <is>
          <t>9.75/11.75 ثم 10.25/12.25 من 7/2025</t>
        </is>
      </c>
      <c r="F47" s="17" t="inlineStr">
        <is>
          <t>نحن/خادم:routers/canonical.py gosi_rates</t>
        </is>
      </c>
      <c r="G47" s="17" t="inlineStr">
        <is>
          <t>لا توجد فترة = صفر</t>
        </is>
      </c>
      <c r="H47" s="19" t="inlineStr">
        <is>
          <t>غير مطابق</t>
        </is>
      </c>
      <c r="I47" s="17" t="inlineStr">
        <is>
          <t>أي مسيّر قبل 2026 يحسب تأمينات صفر عندنا</t>
        </is>
      </c>
      <c r="J47" s="17" t="inlineStr">
        <is>
          <t>تشغيل</t>
        </is>
      </c>
    </row>
    <row r="48">
      <c r="A48" s="16" t="n">
        <v>47</v>
      </c>
      <c r="B48" s="17" t="inlineStr">
        <is>
          <t>التأمينات</t>
        </is>
      </c>
      <c r="C48" s="17" t="inlineStr">
        <is>
          <t>نسبة 55 سنة فأكثر</t>
        </is>
      </c>
      <c r="D48" s="17" t="inlineStr">
        <is>
          <t>هم/HR:engines/insurance.js ruleFor</t>
        </is>
      </c>
      <c r="E48" s="17" t="inlineStr">
        <is>
          <t>الجديد −0.25، القديم −0.75</t>
        </is>
      </c>
      <c r="F48" s="17" t="inlineStr">
        <is>
          <t>نحن/خادم:canonical.py GOSI_DEFAULT</t>
        </is>
      </c>
      <c r="G48" s="17" t="inlineStr">
        <is>
          <t>نفس القيم المخزنة</t>
        </is>
      </c>
      <c r="H48" s="18" t="inlineStr">
        <is>
          <t>مطابق</t>
        </is>
      </c>
      <c r="I48" s="17" t="inlineStr"/>
      <c r="J48" s="17" t="inlineStr">
        <is>
          <t>تشغيل</t>
        </is>
      </c>
    </row>
    <row r="49">
      <c r="A49" s="16" t="n">
        <v>48</v>
      </c>
      <c r="B49" s="17" t="inlineStr">
        <is>
          <t>التأمينات</t>
        </is>
      </c>
      <c r="C49" s="17" t="inlineStr">
        <is>
          <t>الحد الأعلى للأجر</t>
        </is>
      </c>
      <c r="D49" s="17" t="inlineStr">
        <is>
          <t>هم/HR:engines/insurance.js</t>
        </is>
      </c>
      <c r="E49" s="17" t="inlineStr">
        <is>
          <t>45,000</t>
        </is>
      </c>
      <c r="F49" s="17" t="inlineStr">
        <is>
          <t>نحن/خادم:canonical.py GOSI_DEFAULT</t>
        </is>
      </c>
      <c r="G49" s="17" t="inlineStr">
        <is>
          <t>45,000</t>
        </is>
      </c>
      <c r="H49" s="18" t="inlineStr">
        <is>
          <t>مطابق</t>
        </is>
      </c>
      <c r="I49" s="17" t="inlineStr"/>
      <c r="J49" s="17" t="inlineStr">
        <is>
          <t>قراءة</t>
        </is>
      </c>
    </row>
    <row r="50">
      <c r="A50" s="16" t="n">
        <v>49</v>
      </c>
      <c r="B50" s="17" t="inlineStr">
        <is>
          <t>التأمينات</t>
        </is>
      </c>
      <c r="C50" s="17" t="inlineStr">
        <is>
          <t>الأجر الخاضع للموظف</t>
        </is>
      </c>
      <c r="D50" s="17" t="inlineStr">
        <is>
          <t>هم/HR:engines/insurance.js calcInsBase</t>
        </is>
      </c>
      <c r="E50" s="17" t="inlineStr">
        <is>
          <t>min(الحد÷أيام×أيام العمل، أساسي + سكن)</t>
        </is>
      </c>
      <c r="F50" s="17" t="inlineStr">
        <is>
          <t>نحن/خادم:services/gosi.py calculate</t>
        </is>
      </c>
      <c r="G50" s="17" t="inlineStr">
        <is>
          <t>نفسها</t>
        </is>
      </c>
      <c r="H50" s="18" t="inlineStr">
        <is>
          <t>مطابق</t>
        </is>
      </c>
      <c r="I50" s="17" t="inlineStr"/>
      <c r="J50" s="17" t="inlineStr">
        <is>
          <t>قراءة</t>
        </is>
      </c>
    </row>
    <row r="51">
      <c r="A51" s="16" t="n">
        <v>50</v>
      </c>
      <c r="B51" s="17" t="inlineStr">
        <is>
          <t>التأمينات</t>
        </is>
      </c>
      <c r="C51" s="17" t="inlineStr">
        <is>
          <t>الإعفاء (kindOf)</t>
        </is>
      </c>
      <c r="D51" s="17" t="inlineStr">
        <is>
          <t>هم/HR:engines/empkind.js</t>
        </is>
      </c>
      <c r="E51" s="17" t="inlineStr">
        <is>
          <t>استشاري/تمهير/متدرب من نوع WPS أو المسمى أو القسم أو جهة العمل</t>
        </is>
      </c>
      <c r="F51" s="17" t="inlineStr">
        <is>
          <t>نحن/خادم:services/gosi.py exempt_kind</t>
        </is>
      </c>
      <c r="G51" s="17" t="inlineStr">
        <is>
          <t>نفسها (V130)</t>
        </is>
      </c>
      <c r="H51" s="18" t="inlineStr">
        <is>
          <t>مطابق</t>
        </is>
      </c>
      <c r="I51" s="17" t="inlineStr"/>
      <c r="J51" s="17" t="inlineStr">
        <is>
          <t>قراءة</t>
        </is>
      </c>
    </row>
    <row r="52">
      <c r="A52" s="16" t="n">
        <v>51</v>
      </c>
      <c r="B52" s="17" t="inlineStr">
        <is>
          <t>التأمينات</t>
        </is>
      </c>
      <c r="C52" s="17" t="inlineStr">
        <is>
          <t>إعفاء insSystem = exempt</t>
        </is>
      </c>
      <c r="D52" s="17" t="inlineStr">
        <is>
          <t>هم/HR:engines/empkind.js insExempt</t>
        </is>
      </c>
      <c r="E52" s="17" t="inlineStr">
        <is>
          <t>معفى</t>
        </is>
      </c>
      <c r="F52" s="17" t="inlineStr">
        <is>
          <t>نحن/خادم:services/employee_map.py figures</t>
        </is>
      </c>
      <c r="G52" s="17" t="inlineStr">
        <is>
          <t>معفى</t>
        </is>
      </c>
      <c r="H52" s="18" t="inlineStr">
        <is>
          <t>مطابق</t>
        </is>
      </c>
      <c r="I52" s="17" t="inlineStr"/>
      <c r="J52" s="17" t="inlineStr">
        <is>
          <t>قراءة</t>
        </is>
      </c>
    </row>
    <row r="53">
      <c r="A53" s="16" t="n">
        <v>52</v>
      </c>
      <c r="B53" s="17" t="inlineStr">
        <is>
          <t>التأمينات</t>
        </is>
      </c>
      <c r="C53" s="17" t="inlineStr">
        <is>
          <t>الاستشاري = لا يطبق</t>
        </is>
      </c>
      <c r="D53" s="17" t="inlineStr">
        <is>
          <t>هم/HR:engines/insurance.js calcIns</t>
        </is>
      </c>
      <c r="E53" s="17" t="inlineStr">
        <is>
          <t>المسمى «استشاري» أو «مهمة محددة»</t>
        </is>
      </c>
      <c r="F53" s="17" t="inlineStr">
        <is>
          <t>نحن/موقع:lib/calc/payroll.ts insDefault</t>
        </is>
      </c>
      <c r="G53" s="17" t="inlineStr">
        <is>
          <t>نفسها</t>
        </is>
      </c>
      <c r="H53" s="18" t="inlineStr">
        <is>
          <t>مطابق</t>
        </is>
      </c>
      <c r="I53" s="17" t="inlineStr"/>
      <c r="J53" s="17" t="inlineStr">
        <is>
          <t>قراءة</t>
        </is>
      </c>
    </row>
    <row r="54">
      <c r="A54" s="16" t="n">
        <v>53</v>
      </c>
      <c r="B54" s="17" t="inlineStr">
        <is>
          <t>التأمينات</t>
        </is>
      </c>
      <c r="C54" s="17" t="inlineStr">
        <is>
          <t>نص حالة التأمينات</t>
        </is>
      </c>
      <c r="D54" s="17" t="inlineStr">
        <is>
          <t>هم/HR:engines/insurance.js insStatusText</t>
        </is>
      </c>
      <c r="E54" s="17" t="inlineStr">
        <is>
          <t>غير خاضع / غير سعودي / لا يطبق / يطابق / لا يطابق</t>
        </is>
      </c>
      <c r="F54" s="17" t="inlineStr">
        <is>
          <t>نحن/موقع:lib/calc/payroll.ts insDefault</t>
        </is>
      </c>
      <c r="G54" s="17" t="inlineStr">
        <is>
          <t>نفسها</t>
        </is>
      </c>
      <c r="H54" s="18" t="inlineStr">
        <is>
          <t>مطابق</t>
        </is>
      </c>
      <c r="I54" s="17" t="inlineStr"/>
      <c r="J54" s="17" t="inlineStr">
        <is>
          <t>قراءة</t>
        </is>
      </c>
    </row>
    <row r="55">
      <c r="A55" s="16" t="n">
        <v>54</v>
      </c>
      <c r="B55" s="17" t="inlineStr">
        <is>
          <t>التأمينات</t>
        </is>
      </c>
      <c r="C55" s="17" t="inlineStr">
        <is>
          <t>تأمينات الموظف عند حفظ بياناته (31/31)</t>
        </is>
      </c>
      <c r="D55" s="17" t="inlineStr">
        <is>
          <t>هم/HR:lib/employees.js salaryPreview</t>
        </is>
      </c>
      <c r="E55" s="17" t="inlineStr">
        <is>
          <t>calcIns(e, 31, 31) بالجدول التلقائي</t>
        </is>
      </c>
      <c r="F55" s="17" t="inlineStr">
        <is>
          <t>نحن/خادم:canonical.py _store_figures</t>
        </is>
      </c>
      <c r="G55" s="17" t="inlineStr">
        <is>
          <t>calcIns(e, 31, 31) بالجدول المخزن</t>
        </is>
      </c>
      <c r="H55" s="20" t="inlineStr">
        <is>
          <t>شبه مطابق</t>
        </is>
      </c>
      <c r="I55" s="17" t="inlineStr">
        <is>
          <t>نفس المعادلة؛ الفرق من جدول النسب</t>
        </is>
      </c>
      <c r="J55" s="17" t="inlineStr">
        <is>
          <t>قراءة</t>
        </is>
      </c>
    </row>
    <row r="56">
      <c r="A56" s="16" t="n">
        <v>55</v>
      </c>
      <c r="B56" s="17" t="inlineStr">
        <is>
          <t>التأمينات</t>
        </is>
      </c>
      <c r="C56" s="17" t="inlineStr">
        <is>
          <t>تأمينات قسيمة غير محفوظة</t>
        </is>
      </c>
      <c r="D56" s="17" t="inlineStr">
        <is>
          <t>هم/HR:pages/finance/InsCalc.jsx calcFor</t>
        </is>
      </c>
      <c r="E56" s="17" t="inlineStr">
        <is>
          <t>PAYX بأيام الشهر (سكن 25%)</t>
        </is>
      </c>
      <c r="F56" s="17" t="inlineStr">
        <is>
          <t>نحن/موقع:lib/calc/payroll.ts calcEmployeeGosi</t>
        </is>
      </c>
      <c r="G56" s="17" t="inlineStr">
        <is>
          <t>31/31 على السكن الفعلي</t>
        </is>
      </c>
      <c r="H56" s="20" t="inlineStr">
        <is>
          <t>شبه مطابق</t>
        </is>
      </c>
      <c r="I56" s="17" t="inlineStr">
        <is>
          <t>تصحيح G + جدول النسب</t>
        </is>
      </c>
      <c r="J56" s="17" t="inlineStr">
        <is>
          <t>قراءة</t>
        </is>
      </c>
    </row>
    <row r="57">
      <c r="A57" s="16" t="n">
        <v>56</v>
      </c>
      <c r="B57" s="17" t="inlineStr">
        <is>
          <t>التأمينات</t>
        </is>
      </c>
      <c r="C57" s="17" t="inlineStr">
        <is>
          <t>تأمينات مصر</t>
        </is>
      </c>
      <c r="D57" s="17" t="inlineStr">
        <is>
          <t>هم/HR:engines/country.js calcInsEG</t>
        </is>
      </c>
      <c r="E57" s="17" t="inlineStr">
        <is>
          <t>11% موظف / 18.75% شركة، حد أدنى وأعلى لكل سنة</t>
        </is>
      </c>
      <c r="F57" s="17" t="inlineStr">
        <is>
          <t>—</t>
        </is>
      </c>
      <c r="G57" s="17" t="inlineStr">
        <is>
          <t>—</t>
        </is>
      </c>
      <c r="H57" s="21" t="inlineStr">
        <is>
          <t>عندهم فقط</t>
        </is>
      </c>
      <c r="I57" s="17" t="inlineStr"/>
      <c r="J57" s="17" t="inlineStr">
        <is>
          <t>قراءة</t>
        </is>
      </c>
    </row>
    <row r="58">
      <c r="A58" s="16" t="n">
        <v>57</v>
      </c>
      <c r="B58" s="17" t="inlineStr">
        <is>
          <t>بيانات الموظف</t>
        </is>
      </c>
      <c r="C58" s="17" t="inlineStr">
        <is>
          <t>إجمالي الراتب</t>
        </is>
      </c>
      <c r="D58" s="17" t="inlineStr">
        <is>
          <t>هم/HR:lib/employees.js buildEmployee</t>
        </is>
      </c>
      <c r="E58" s="17" t="inlineStr">
        <is>
          <t>أساسي + سكن + مواصلات + مشروع + أخرى + إضافي</t>
        </is>
      </c>
      <c r="F58" s="17" t="inlineStr">
        <is>
          <t>نحن/خادم:services/employee_map.py figures</t>
        </is>
      </c>
      <c r="G58" s="17" t="inlineStr">
        <is>
          <t>نفسها</t>
        </is>
      </c>
      <c r="H58" s="18" t="inlineStr">
        <is>
          <t>مطابق</t>
        </is>
      </c>
      <c r="I58" s="17" t="inlineStr"/>
      <c r="J58" s="17" t="inlineStr">
        <is>
          <t>قراءة</t>
        </is>
      </c>
    </row>
    <row r="59">
      <c r="A59" s="16" t="n">
        <v>58</v>
      </c>
      <c r="B59" s="17" t="inlineStr">
        <is>
          <t>بيانات الموظف</t>
        </is>
      </c>
      <c r="C59" s="17" t="inlineStr">
        <is>
          <t>صافي الراتب</t>
        </is>
      </c>
      <c r="D59" s="17" t="inlineStr">
        <is>
          <t>هم/HR:lib/employees.js</t>
        </is>
      </c>
      <c r="E59" s="17" t="inlineStr">
        <is>
          <t>الإجمالي − تأمينات الموظف − خصومات أخرى</t>
        </is>
      </c>
      <c r="F59" s="17" t="inlineStr">
        <is>
          <t>نحن/خادم:services/employee_map.py figures</t>
        </is>
      </c>
      <c r="G59" s="17" t="inlineStr">
        <is>
          <t>نفسها</t>
        </is>
      </c>
      <c r="H59" s="20" t="inlineStr">
        <is>
          <t>شبه مطابق</t>
        </is>
      </c>
      <c r="I59" s="17" t="inlineStr">
        <is>
          <t>نفس المعادلة؛ الفرق من جدول النسب</t>
        </is>
      </c>
      <c r="J59" s="17" t="inlineStr">
        <is>
          <t>قراءة</t>
        </is>
      </c>
    </row>
    <row r="60">
      <c r="A60" s="16" t="n">
        <v>59</v>
      </c>
      <c r="B60" s="17" t="inlineStr">
        <is>
          <t>بيانات الموظف</t>
        </is>
      </c>
      <c r="C60" s="17" t="inlineStr">
        <is>
          <t>الصافي بالريال وسعر الصرف</t>
        </is>
      </c>
      <c r="D60" s="17" t="inlineStr">
        <is>
          <t>هم/HR:lib/data.js</t>
        </is>
      </c>
      <c r="E60" s="17" t="inlineStr">
        <is>
          <t>الصافي × السعر، الدولار افتراضياً 3.755</t>
        </is>
      </c>
      <c r="F60" s="17" t="inlineStr">
        <is>
          <t>نحن/خادم:canonical.py _store_figures</t>
        </is>
      </c>
      <c r="G60" s="17" t="inlineStr">
        <is>
          <t>نفسها</t>
        </is>
      </c>
      <c r="H60" s="18" t="inlineStr">
        <is>
          <t>مطابق</t>
        </is>
      </c>
      <c r="I60" s="17" t="inlineStr"/>
      <c r="J60" s="17" t="inlineStr">
        <is>
          <t>قراءة</t>
        </is>
      </c>
    </row>
    <row r="61">
      <c r="A61" s="16" t="n">
        <v>60</v>
      </c>
      <c r="B61" s="17" t="inlineStr">
        <is>
          <t>بيانات الموظف</t>
        </is>
      </c>
      <c r="C61" s="17" t="inlineStr">
        <is>
          <t>نهاية العقد المحدد</t>
        </is>
      </c>
      <c r="D61" s="17" t="inlineStr">
        <is>
          <t>هم/HR:lib/employees.js addMonthsSafe</t>
        </is>
      </c>
      <c r="E61" s="17" t="inlineStr">
        <is>
          <t>المباشرة + المدة − يوم</t>
        </is>
      </c>
      <c r="F61" s="17" t="inlineStr">
        <is>
          <t>نحن/خادم:services/contracts.py fixed_term_end</t>
        </is>
      </c>
      <c r="G61" s="17" t="inlineStr">
        <is>
          <t>نفسها</t>
        </is>
      </c>
      <c r="H61" s="18" t="inlineStr">
        <is>
          <t>مطابق</t>
        </is>
      </c>
      <c r="I61" s="17" t="inlineStr"/>
      <c r="J61" s="17" t="inlineStr">
        <is>
          <t>قراءة</t>
        </is>
      </c>
    </row>
    <row r="62">
      <c r="A62" s="16" t="n">
        <v>61</v>
      </c>
      <c r="B62" s="17" t="inlineStr">
        <is>
          <t>بيانات الموظف</t>
        </is>
      </c>
      <c r="C62" s="17" t="inlineStr">
        <is>
          <t>الأيام المتبقية (إقامة/جواز/عقد/تأمين طبي)</t>
        </is>
      </c>
      <c r="D62" s="17" t="inlineStr">
        <is>
          <t>هم/HR:lib/data.js normalizeEmployee</t>
        </is>
      </c>
      <c r="E62" s="17" t="inlineStr">
        <is>
          <t>round((التاريخ − اليوم) ÷ يوم)</t>
        </is>
      </c>
      <c r="F62" s="17" t="inlineStr">
        <is>
          <t>نحن/خادم:canonical.py</t>
        </is>
      </c>
      <c r="G62" s="17" t="inlineStr">
        <is>
          <t>(التاريخ − اليوم).days</t>
        </is>
      </c>
      <c r="H62" s="18" t="inlineStr">
        <is>
          <t>مطابق</t>
        </is>
      </c>
      <c r="I62" s="17" t="inlineStr"/>
      <c r="J62" s="17" t="inlineStr">
        <is>
          <t>قراءة</t>
        </is>
      </c>
    </row>
    <row r="63">
      <c r="A63" s="16" t="n">
        <v>62</v>
      </c>
      <c r="B63" s="17" t="inlineStr">
        <is>
          <t>بيانات الموظف</t>
        </is>
      </c>
      <c r="C63" s="17" t="inlineStr">
        <is>
          <t>سنوات الخدمة في السجل</t>
        </is>
      </c>
      <c r="D63" s="17" t="inlineStr">
        <is>
          <t>هم/HR:lib/data.js normalizeEmployee</t>
        </is>
      </c>
      <c r="E63" s="17" t="inlineStr">
        <is>
          <t>تُحسب عند كل تحميل: (اليوم أو آخر يوم − المباشرة) ÷ 365.25</t>
        </is>
      </c>
      <c r="F63" s="17" t="inlineStr">
        <is>
          <t>نحن/خادم:canonical.py salary_basis</t>
        </is>
      </c>
      <c r="G63" s="17" t="inlineStr">
        <is>
          <t>القيمة المخزنة yearsOfService</t>
        </is>
      </c>
      <c r="H63" s="20" t="inlineStr">
        <is>
          <t>شبه مطابق</t>
        </is>
      </c>
      <c r="I63" s="17" t="inlineStr">
        <is>
          <t>عندهم محدّثة دائماً، عندنا المخزنة</t>
        </is>
      </c>
      <c r="J63" s="17" t="inlineStr">
        <is>
          <t>قراءة</t>
        </is>
      </c>
    </row>
    <row r="64">
      <c r="A64" s="16" t="n">
        <v>63</v>
      </c>
      <c r="B64" s="17" t="inlineStr">
        <is>
          <t>بيانات الموظف</t>
        </is>
      </c>
      <c r="C64" s="17" t="inlineStr">
        <is>
          <t>إصلاح الصافي المخزن بعملة أجنبية</t>
        </is>
      </c>
      <c r="D64" s="17" t="inlineStr">
        <is>
          <t>هم/HR:lib/data.js normalizeEmployee</t>
        </is>
      </c>
      <c r="E64" s="17" t="inlineStr">
        <is>
          <t>لو الصافي ≈ الإجمالي × السعر يُقسم عليه، ولو &gt; 20 ضعف يُعاد حسابه</t>
        </is>
      </c>
      <c r="F64" s="17" t="inlineStr">
        <is>
          <t>—</t>
        </is>
      </c>
      <c r="G64" s="17" t="inlineStr">
        <is>
          <t>—</t>
        </is>
      </c>
      <c r="H64" s="21" t="inlineStr">
        <is>
          <t>عندهم فقط</t>
        </is>
      </c>
      <c r="I64" s="17" t="inlineStr"/>
      <c r="J64" s="17" t="inlineStr">
        <is>
          <t>قراءة</t>
        </is>
      </c>
    </row>
    <row r="65">
      <c r="A65" s="16" t="n">
        <v>64</v>
      </c>
      <c r="B65" s="17" t="inlineStr">
        <is>
          <t>بيانات الموظف</t>
        </is>
      </c>
      <c r="C65" s="17" t="inlineStr">
        <is>
          <t>رقم الموظف الجديد واسم المستخدم</t>
        </is>
      </c>
      <c r="D65" s="17" t="inlineStr">
        <is>
          <t>هم/HR:lib/employees.js buildEmployee</t>
        </is>
      </c>
      <c r="E65" s="17" t="inlineStr">
        <is>
          <t>أكبر رقم + 1، واسم المستخدم EMP + 3 خانات</t>
        </is>
      </c>
      <c r="F65" s="17" t="inlineStr">
        <is>
          <t>نحن/خادم:canonical.py create_employee</t>
        </is>
      </c>
      <c r="G65" s="17" t="inlineStr">
        <is>
          <t>نفسها</t>
        </is>
      </c>
      <c r="H65" s="18" t="inlineStr">
        <is>
          <t>مطابق</t>
        </is>
      </c>
      <c r="I65" s="17" t="inlineStr"/>
      <c r="J65" s="17" t="inlineStr">
        <is>
          <t>قراءة</t>
        </is>
      </c>
    </row>
    <row r="66">
      <c r="A66" s="16" t="n">
        <v>65</v>
      </c>
      <c r="B66" s="17" t="inlineStr">
        <is>
          <t>بيانات الموظف</t>
        </is>
      </c>
      <c r="C66" s="17" t="inlineStr">
        <is>
          <t>البدل كنسبة من الأساسي</t>
        </is>
      </c>
      <c r="D66" s="17" t="inlineStr">
        <is>
          <t>هم/HR:pages/employees/EmpForm.jsx</t>
        </is>
      </c>
      <c r="E66" s="17" t="inlineStr">
        <is>
          <t>البدل = الأساسي × النسبة% ويتحدث تلقائياً</t>
        </is>
      </c>
      <c r="F66" s="17" t="inlineStr">
        <is>
          <t>—</t>
        </is>
      </c>
      <c r="G66" s="17" t="inlineStr">
        <is>
          <t>—</t>
        </is>
      </c>
      <c r="H66" s="21" t="inlineStr">
        <is>
          <t>عندهم فقط</t>
        </is>
      </c>
      <c r="I66" s="17" t="inlineStr"/>
      <c r="J66" s="17" t="inlineStr">
        <is>
          <t>قراءة</t>
        </is>
      </c>
    </row>
    <row r="67">
      <c r="A67" s="16" t="n">
        <v>66</v>
      </c>
      <c r="B67" s="17" t="inlineStr">
        <is>
          <t>بيانات الموظف</t>
        </is>
      </c>
      <c r="C67" s="17" t="inlineStr">
        <is>
          <t>الإنهاء والتفعيل التلقائي عند انتهاء العقد</t>
        </is>
      </c>
      <c r="D67" s="17" t="inlineStr">
        <is>
          <t>—</t>
        </is>
      </c>
      <c r="E67" s="17" t="inlineStr">
        <is>
          <t>لم أجده في كودهم</t>
        </is>
      </c>
      <c r="F67" s="17" t="inlineStr">
        <is>
          <t>نحن/خادم:services/contracts.py + canonical.py _reactivate_if_renewed</t>
        </is>
      </c>
      <c r="G67" s="17" t="inlineStr">
        <is>
          <t>ينتهي تلقائياً بعد نهاية العقد، ويرجع لو جُدد</t>
        </is>
      </c>
      <c r="H67" s="22" t="inlineStr">
        <is>
          <t>عندنا فقط</t>
        </is>
      </c>
      <c r="I67" s="17" t="inlineStr"/>
      <c r="J67" s="17" t="inlineStr">
        <is>
          <t>قراءة</t>
        </is>
      </c>
    </row>
    <row r="68">
      <c r="A68" s="16" t="n">
        <v>67</v>
      </c>
      <c r="B68" s="17" t="inlineStr">
        <is>
          <t>نهاية الخدمة</t>
        </is>
      </c>
      <c r="C68" s="17" t="inlineStr">
        <is>
          <t>مكافأة م.84</t>
        </is>
      </c>
      <c r="D68" s="17" t="inlineStr">
        <is>
          <t>هم/HR:pages/finance/Eos.jsx eosByLaw</t>
        </is>
      </c>
      <c r="E68" s="17" t="inlineStr">
        <is>
          <t>الوعاء÷2 × min(س،5) + الوعاء × max(0، س−5)</t>
        </is>
      </c>
      <c r="F68" s="17" t="inlineStr">
        <is>
          <t>نحن/موقع:lib/calc/eos.ts calcByLaw</t>
        </is>
      </c>
      <c r="G68" s="17" t="inlineStr">
        <is>
          <t>نفسها</t>
        </is>
      </c>
      <c r="H68" s="18" t="inlineStr">
        <is>
          <t>مطابق</t>
        </is>
      </c>
      <c r="I68" s="17" t="inlineStr"/>
      <c r="J68" s="17" t="inlineStr">
        <is>
          <t>تشغيل 2,727 حالة</t>
        </is>
      </c>
    </row>
    <row r="69">
      <c r="A69" s="16" t="n">
        <v>68</v>
      </c>
      <c r="B69" s="17" t="inlineStr">
        <is>
          <t>نهاية الخدمة</t>
        </is>
      </c>
      <c r="C69" s="17" t="inlineStr">
        <is>
          <t>م.74 / م.74(3) / م.74(4)</t>
        </is>
      </c>
      <c r="D69" s="17" t="inlineStr">
        <is>
          <t>هم/HR:pages/finance/Eos.jsx</t>
        </is>
      </c>
      <c r="E69" s="17">
        <f> م.84</f>
        <v/>
      </c>
      <c r="F69" s="17" t="inlineStr">
        <is>
          <t>نحن/موقع:lib/calc/eos.ts</t>
        </is>
      </c>
      <c r="G69" s="17">
        <f> م.84</f>
        <v/>
      </c>
      <c r="H69" s="18" t="inlineStr">
        <is>
          <t>مطابق</t>
        </is>
      </c>
      <c r="I69" s="17" t="inlineStr"/>
      <c r="J69" s="17" t="inlineStr">
        <is>
          <t>تشغيل</t>
        </is>
      </c>
    </row>
    <row r="70">
      <c r="A70" s="16" t="n">
        <v>69</v>
      </c>
      <c r="B70" s="17" t="inlineStr">
        <is>
          <t>نهاية الخدمة</t>
        </is>
      </c>
      <c r="C70" s="17" t="inlineStr">
        <is>
          <t>م.85 / م.75 الاستقالة</t>
        </is>
      </c>
      <c r="D70" s="17" t="inlineStr">
        <is>
          <t>هم/HR:pages/finance/Eos.jsx</t>
        </is>
      </c>
      <c r="E70" s="17" t="inlineStr">
        <is>
          <t>&lt;2: 0 · &lt;5: ⅓ · &lt;10: ⅔ · ≥10: كاملة</t>
        </is>
      </c>
      <c r="F70" s="17" t="inlineStr">
        <is>
          <t>نحن/موقع:lib/calc/eos.ts</t>
        </is>
      </c>
      <c r="G70" s="17" t="inlineStr">
        <is>
          <t>&lt;2: 0 · ≤5: ⅓ · &lt;10: ⅔ · ≥10: كاملة</t>
        </is>
      </c>
      <c r="H70" s="19" t="inlineStr">
        <is>
          <t>غير مطابق</t>
        </is>
      </c>
      <c r="I70" s="17" t="inlineStr">
        <is>
          <t>تصحيح A: 5 سنوات بالضبط</t>
        </is>
      </c>
      <c r="J70" s="17" t="inlineStr">
        <is>
          <t>تشغيل 6 حالات</t>
        </is>
      </c>
    </row>
    <row r="71">
      <c r="A71" s="16" t="n">
        <v>70</v>
      </c>
      <c r="B71" s="17" t="inlineStr">
        <is>
          <t>نهاية الخدمة</t>
        </is>
      </c>
      <c r="C71" s="17" t="inlineStr">
        <is>
          <t>م.87 مكافأة كاملة</t>
        </is>
      </c>
      <c r="D71" s="17" t="inlineStr">
        <is>
          <t>—</t>
        </is>
      </c>
      <c r="E71" s="17" t="inlineStr">
        <is>
          <t>غير موجودة</t>
        </is>
      </c>
      <c r="F71" s="17" t="inlineStr">
        <is>
          <t>نحن/موقع:lib/calc/eos.ts</t>
        </is>
      </c>
      <c r="G71" s="17">
        <f> م.84</f>
        <v/>
      </c>
      <c r="H71" s="22" t="inlineStr">
        <is>
          <t>عندنا فقط</t>
        </is>
      </c>
      <c r="I71" s="17" t="inlineStr">
        <is>
          <t>تصحيح D</t>
        </is>
      </c>
      <c r="J71" s="17" t="inlineStr">
        <is>
          <t>تشغيل 300 حالة</t>
        </is>
      </c>
    </row>
    <row r="72">
      <c r="A72" s="16" t="n">
        <v>71</v>
      </c>
      <c r="B72" s="17" t="inlineStr">
        <is>
          <t>نهاية الخدمة</t>
        </is>
      </c>
      <c r="C72" s="17" t="inlineStr">
        <is>
          <t>م.77 عقد غير محدد</t>
        </is>
      </c>
      <c r="D72" s="17" t="inlineStr">
        <is>
          <t>هم/HR:pages/finance/Eos.jsx</t>
        </is>
      </c>
      <c r="E72" s="17" t="inlineStr">
        <is>
          <t>م.84 + max(round(2×الوعاء)، round(الوعاء÷30×15×س))</t>
        </is>
      </c>
      <c r="F72" s="17" t="inlineStr">
        <is>
          <t>نحن/موقع:lib/calc/eos.ts</t>
        </is>
      </c>
      <c r="G72" s="17" t="inlineStr">
        <is>
          <t>نفسها</t>
        </is>
      </c>
      <c r="H72" s="18" t="inlineStr">
        <is>
          <t>مطابق</t>
        </is>
      </c>
      <c r="I72" s="17" t="inlineStr"/>
      <c r="J72" s="17" t="inlineStr">
        <is>
          <t>تشغيل</t>
        </is>
      </c>
    </row>
    <row r="73">
      <c r="A73" s="16" t="n">
        <v>72</v>
      </c>
      <c r="B73" s="17" t="inlineStr">
        <is>
          <t>نهاية الخدمة</t>
        </is>
      </c>
      <c r="C73" s="17" t="inlineStr">
        <is>
          <t>م.77 عقد محدد المدة</t>
        </is>
      </c>
      <c r="D73" s="17" t="inlineStr">
        <is>
          <t>—</t>
        </is>
      </c>
      <c r="E73" s="17" t="inlineStr">
        <is>
          <t>تُعامل كغير المحدد</t>
        </is>
      </c>
      <c r="F73" s="17" t="inlineStr">
        <is>
          <t>نحن/موقع:lib/calc/eos.ts</t>
        </is>
      </c>
      <c r="G73" s="17" t="inlineStr">
        <is>
          <t>م.84 + max(شهرين، أجر الأشهر الباقية)</t>
        </is>
      </c>
      <c r="H73" s="22" t="inlineStr">
        <is>
          <t>عندنا فقط</t>
        </is>
      </c>
      <c r="I73" s="17" t="inlineStr">
        <is>
          <t>تصحيح C (مثال 18 شهراً: 243,750 مقابل 43,750)</t>
        </is>
      </c>
      <c r="J73" s="17" t="inlineStr">
        <is>
          <t>تشغيل</t>
        </is>
      </c>
    </row>
    <row r="74">
      <c r="A74" s="16" t="n">
        <v>73</v>
      </c>
      <c r="B74" s="17" t="inlineStr">
        <is>
          <t>نهاية الخدمة</t>
        </is>
      </c>
      <c r="C74" s="17" t="inlineStr">
        <is>
          <t>م.80 فصل تأديبي</t>
        </is>
      </c>
      <c r="D74" s="17" t="inlineStr">
        <is>
          <t>هم/HR:pages/finance/Eos.jsx</t>
        </is>
      </c>
      <c r="E74" s="17" t="inlineStr">
        <is>
          <t>0</t>
        </is>
      </c>
      <c r="F74" s="17" t="inlineStr">
        <is>
          <t>نحن/موقع:lib/calc/eos.ts</t>
        </is>
      </c>
      <c r="G74" s="17" t="inlineStr">
        <is>
          <t>0</t>
        </is>
      </c>
      <c r="H74" s="18" t="inlineStr">
        <is>
          <t>مطابق</t>
        </is>
      </c>
      <c r="I74" s="17" t="inlineStr"/>
      <c r="J74" s="17" t="inlineStr">
        <is>
          <t>تشغيل</t>
        </is>
      </c>
    </row>
    <row r="75">
      <c r="A75" s="16" t="n">
        <v>74</v>
      </c>
      <c r="B75" s="17" t="inlineStr">
        <is>
          <t>نهاية الخدمة</t>
        </is>
      </c>
      <c r="C75" s="17" t="inlineStr">
        <is>
          <t>وعاء المكافأة في الصفحة</t>
        </is>
      </c>
      <c r="D75" s="17" t="inlineStr">
        <is>
          <t>هم/HR:pages/finance/Eos.jsx</t>
        </is>
      </c>
      <c r="E75" s="17" t="inlineStr">
        <is>
          <t>أساسي + سكن</t>
        </is>
      </c>
      <c r="F75" s="17" t="inlineStr">
        <is>
          <t>نحن/موقع:end-of-service/page.tsx</t>
        </is>
      </c>
      <c r="G75" s="17" t="inlineStr">
        <is>
          <t>أساسي + كل البدلات الثابتة</t>
        </is>
      </c>
      <c r="H75" s="19" t="inlineStr">
        <is>
          <t>غير مطابق</t>
        </is>
      </c>
      <c r="I75" s="17" t="inlineStr">
        <is>
          <t>تصحيح B</t>
        </is>
      </c>
      <c r="J75" s="17" t="inlineStr">
        <is>
          <t>قراءة</t>
        </is>
      </c>
    </row>
    <row r="76">
      <c r="A76" s="16" t="n">
        <v>75</v>
      </c>
      <c r="B76" s="17" t="inlineStr">
        <is>
          <t>نهاية الخدمة</t>
        </is>
      </c>
      <c r="C76" s="17" t="inlineStr">
        <is>
          <t>سنوات الخدمة في الصفحة</t>
        </is>
      </c>
      <c r="D76" s="17" t="inlineStr">
        <is>
          <t>هم/HR:pages/finance/Eos.jsx</t>
        </is>
      </c>
      <c r="E76" s="17" t="inlineStr">
        <is>
          <t>(التاريخ − المباشرة) ÷ 365.25</t>
        </is>
      </c>
      <c r="F76" s="17" t="inlineStr">
        <is>
          <t>نحن/موقع:lib/calc/eos.ts eosYears</t>
        </is>
      </c>
      <c r="G76" s="17" t="inlineStr">
        <is>
          <t>نفسها</t>
        </is>
      </c>
      <c r="H76" s="18" t="inlineStr">
        <is>
          <t>مطابق</t>
        </is>
      </c>
      <c r="I76" s="17" t="inlineStr"/>
      <c r="J76" s="17" t="inlineStr">
        <is>
          <t>قراءة</t>
        </is>
      </c>
    </row>
    <row r="77">
      <c r="A77" s="16" t="n">
        <v>76</v>
      </c>
      <c r="B77" s="17" t="inlineStr">
        <is>
          <t>نهاية الخدمة</t>
        </is>
      </c>
      <c r="C77" s="17" t="inlineStr">
        <is>
          <t>نص المدة «س سنة ش شهر ي يوم»</t>
        </is>
      </c>
      <c r="D77" s="17" t="inlineStr">
        <is>
          <t>هم/HR:pages/finance/Eos.jsx duration</t>
        </is>
      </c>
      <c r="E77" s="17" t="inlineStr">
        <is>
          <t>خوارزمية الأشهر</t>
        </is>
      </c>
      <c r="F77" s="17" t="inlineStr">
        <is>
          <t>نحن/موقع:lib/calc/eos.ts durationText</t>
        </is>
      </c>
      <c r="G77" s="17" t="inlineStr">
        <is>
          <t>نفسها</t>
        </is>
      </c>
      <c r="H77" s="18" t="inlineStr">
        <is>
          <t>مطابق</t>
        </is>
      </c>
      <c r="I77" s="17" t="inlineStr"/>
      <c r="J77" s="17" t="inlineStr">
        <is>
          <t>تشغيل 2,000 حالة</t>
        </is>
      </c>
    </row>
    <row r="78">
      <c r="A78" s="16" t="n">
        <v>77</v>
      </c>
      <c r="B78" s="17" t="inlineStr">
        <is>
          <t>نهاية الخدمة</t>
        </is>
      </c>
      <c r="C78" s="17" t="inlineStr">
        <is>
          <t>مكافأة سجل الموظف (calcEOS)</t>
        </is>
      </c>
      <c r="D78" s="17" t="inlineStr">
        <is>
          <t>هم/HR:engines/insurance.js calcEOS</t>
        </is>
      </c>
      <c r="E78" s="17" t="inlineStr">
        <is>
          <t>(أساسي+سكن)÷2 × min(س،5) + (أساسي+سكن) × ما بعدها</t>
        </is>
      </c>
      <c r="F78" s="17" t="inlineStr">
        <is>
          <t>نحن/خادم:canonical.py salary_basis</t>
        </is>
      </c>
      <c r="G78" s="17" t="inlineStr">
        <is>
          <t>المسجلة، وإلا نفس المعادلة</t>
        </is>
      </c>
      <c r="H78" s="18" t="inlineStr">
        <is>
          <t>مطابق</t>
        </is>
      </c>
      <c r="I78" s="17" t="inlineStr"/>
      <c r="J78" s="17" t="inlineStr">
        <is>
          <t>قراءة</t>
        </is>
      </c>
    </row>
    <row r="79">
      <c r="A79" s="16" t="n">
        <v>78</v>
      </c>
      <c r="B79" s="17" t="inlineStr">
        <is>
          <t>المخالصة</t>
        </is>
      </c>
      <c r="C79" s="17" t="inlineStr">
        <is>
          <t>المدة سنة/شهر/يوم والسنوات</t>
        </is>
      </c>
      <c r="D79" s="17" t="inlineStr">
        <is>
          <t>هم/HR:pages/finance/EosCalc.jsx settle</t>
        </is>
      </c>
      <c r="E79" s="17" t="inlineStr">
        <is>
          <t>duration: س + ش÷12 + ي÷360</t>
        </is>
      </c>
      <c r="F79" s="17" t="inlineStr">
        <is>
          <t>نحن/موقع:lib/calc/settlement.ts</t>
        </is>
      </c>
      <c r="G79" s="17" t="inlineStr">
        <is>
          <t>نفسها</t>
        </is>
      </c>
      <c r="H79" s="18" t="inlineStr">
        <is>
          <t>مطابق</t>
        </is>
      </c>
      <c r="I79" s="17" t="inlineStr"/>
      <c r="J79" s="17" t="inlineStr">
        <is>
          <t>تشغيل 19,868 حالة</t>
        </is>
      </c>
    </row>
    <row r="80">
      <c r="A80" s="16" t="n">
        <v>79</v>
      </c>
      <c r="B80" s="17" t="inlineStr">
        <is>
          <t>المخالصة</t>
        </is>
      </c>
      <c r="C80" s="17" t="inlineStr">
        <is>
          <t>e84</t>
        </is>
      </c>
      <c r="D80" s="17" t="inlineStr">
        <is>
          <t>هم/HR:pages/finance/EosCalc.jsx</t>
        </is>
      </c>
      <c r="E80" s="17" t="inlineStr">
        <is>
          <t>الراتب÷2 × min(س،5) + الراتب × ما بعدها</t>
        </is>
      </c>
      <c r="F80" s="17" t="inlineStr">
        <is>
          <t>نحن/موقع:lib/calc/settlement.ts</t>
        </is>
      </c>
      <c r="G80" s="17" t="inlineStr">
        <is>
          <t>نفسها</t>
        </is>
      </c>
      <c r="H80" s="18" t="inlineStr">
        <is>
          <t>مطابق</t>
        </is>
      </c>
      <c r="I80" s="17" t="inlineStr"/>
      <c r="J80" s="17" t="inlineStr">
        <is>
          <t>تشغيل</t>
        </is>
      </c>
    </row>
    <row r="81">
      <c r="A81" s="16" t="n">
        <v>80</v>
      </c>
      <c r="B81" s="17" t="inlineStr">
        <is>
          <t>المخالصة</t>
        </is>
      </c>
      <c r="C81" s="17" t="inlineStr">
        <is>
          <t>م.84 / م.74 / تقاعد / وفاة</t>
        </is>
      </c>
      <c r="D81" s="17" t="inlineStr">
        <is>
          <t>هم/HR:pages/finance/EosCalc.jsx</t>
        </is>
      </c>
      <c r="E81" s="17">
        <f> e84</f>
        <v/>
      </c>
      <c r="F81" s="17" t="inlineStr">
        <is>
          <t>نحن/موقع:lib/calc/settlement.ts</t>
        </is>
      </c>
      <c r="G81" s="17">
        <f> e84</f>
        <v/>
      </c>
      <c r="H81" s="18" t="inlineStr">
        <is>
          <t>مطابق</t>
        </is>
      </c>
      <c r="I81" s="17" t="inlineStr"/>
      <c r="J81" s="17" t="inlineStr">
        <is>
          <t>تشغيل</t>
        </is>
      </c>
    </row>
    <row r="82">
      <c r="A82" s="16" t="n">
        <v>81</v>
      </c>
      <c r="B82" s="17" t="inlineStr">
        <is>
          <t>المخالصة</t>
        </is>
      </c>
      <c r="C82" s="17" t="inlineStr">
        <is>
          <t>م.85 / م.75</t>
        </is>
      </c>
      <c r="D82" s="17" t="inlineStr">
        <is>
          <t>هم/HR:pages/finance/EosCalc.jsx</t>
        </is>
      </c>
      <c r="E82" s="17" t="inlineStr">
        <is>
          <t>&lt;2: 0 · &lt;5: ⅓ · &lt;10: ⅔ · كاملة</t>
        </is>
      </c>
      <c r="F82" s="17" t="inlineStr">
        <is>
          <t>نحن/موقع:lib/calc/settlement.ts</t>
        </is>
      </c>
      <c r="G82" s="17" t="inlineStr">
        <is>
          <t>&lt;2: 0 · ≤5: ⅓ · &lt;10: ⅔ · كاملة</t>
        </is>
      </c>
      <c r="H82" s="19" t="inlineStr">
        <is>
          <t>غير مطابق</t>
        </is>
      </c>
      <c r="I82" s="17" t="inlineStr">
        <is>
          <t>تصحيح A (5 بالضبط)</t>
        </is>
      </c>
      <c r="J82" s="17" t="inlineStr">
        <is>
          <t>قراءة</t>
        </is>
      </c>
    </row>
    <row r="83">
      <c r="A83" s="16" t="n">
        <v>82</v>
      </c>
      <c r="B83" s="17" t="inlineStr">
        <is>
          <t>المخالصة</t>
        </is>
      </c>
      <c r="C83" s="17" t="inlineStr">
        <is>
          <t>م.87</t>
        </is>
      </c>
      <c r="D83" s="17" t="inlineStr">
        <is>
          <t>—</t>
        </is>
      </c>
      <c r="E83" s="17" t="inlineStr">
        <is>
          <t>غير موجودة</t>
        </is>
      </c>
      <c r="F83" s="17" t="inlineStr">
        <is>
          <t>نحن/موقع:lib/calc/settlement.ts</t>
        </is>
      </c>
      <c r="G83" s="17">
        <f> e84</f>
        <v/>
      </c>
      <c r="H83" s="22" t="inlineStr">
        <is>
          <t>عندنا فقط</t>
        </is>
      </c>
      <c r="I83" s="17" t="inlineStr">
        <is>
          <t>تصحيح D (1,977 حالة)</t>
        </is>
      </c>
      <c r="J83" s="17" t="inlineStr">
        <is>
          <t>تشغيل</t>
        </is>
      </c>
    </row>
    <row r="84">
      <c r="A84" s="16" t="n">
        <v>83</v>
      </c>
      <c r="B84" s="17" t="inlineStr">
        <is>
          <t>المخالصة</t>
        </is>
      </c>
      <c r="C84" s="17" t="inlineStr">
        <is>
          <t>م.77</t>
        </is>
      </c>
      <c r="D84" s="17" t="inlineStr">
        <is>
          <t>هم/HR:pages/finance/EosCalc.jsx</t>
        </is>
      </c>
      <c r="E84" s="17" t="inlineStr">
        <is>
          <t>e84 + max(شهرين، الراتب÷30×15×س)</t>
        </is>
      </c>
      <c r="F84" s="17" t="inlineStr">
        <is>
          <t>نحن/موقع:lib/calc/settlement.ts</t>
        </is>
      </c>
      <c r="G84" s="17" t="inlineStr">
        <is>
          <t>نفسها + للعقد المحدد: أجر الأشهر الباقية</t>
        </is>
      </c>
      <c r="H84" s="20" t="inlineStr">
        <is>
          <t>شبه مطابق</t>
        </is>
      </c>
      <c r="I84" s="17" t="inlineStr">
        <is>
          <t>تصحيح C للعقد المحدد</t>
        </is>
      </c>
      <c r="J84" s="17" t="inlineStr">
        <is>
          <t>قراءة</t>
        </is>
      </c>
    </row>
    <row r="85">
      <c r="A85" s="16" t="n">
        <v>84</v>
      </c>
      <c r="B85" s="17" t="inlineStr">
        <is>
          <t>المخالصة</t>
        </is>
      </c>
      <c r="C85" s="17" t="inlineStr">
        <is>
          <t>م.80 / م.53</t>
        </is>
      </c>
      <c r="D85" s="17" t="inlineStr">
        <is>
          <t>هم/HR:pages/finance/EosCalc.jsx</t>
        </is>
      </c>
      <c r="E85" s="17" t="inlineStr">
        <is>
          <t>0</t>
        </is>
      </c>
      <c r="F85" s="17" t="inlineStr">
        <is>
          <t>نحن/موقع:lib/calc/settlement.ts</t>
        </is>
      </c>
      <c r="G85" s="17" t="inlineStr">
        <is>
          <t>0</t>
        </is>
      </c>
      <c r="H85" s="18" t="inlineStr">
        <is>
          <t>مطابق</t>
        </is>
      </c>
      <c r="I85" s="17" t="inlineStr"/>
      <c r="J85" s="17" t="inlineStr">
        <is>
          <t>تشغيل</t>
        </is>
      </c>
    </row>
    <row r="86">
      <c r="A86" s="16" t="n">
        <v>85</v>
      </c>
      <c r="B86" s="17" t="inlineStr">
        <is>
          <t>المخالصة</t>
        </is>
      </c>
      <c r="C86" s="17" t="inlineStr">
        <is>
          <t>الإجازة المستحقة</t>
        </is>
      </c>
      <c r="D86" s="17" t="inlineStr">
        <is>
          <t>هم/HR:pages/finance/EosCalc.jsx</t>
        </is>
      </c>
      <c r="E86" s="17" t="inlineStr">
        <is>
          <t>السنوات × أيام الإجازة</t>
        </is>
      </c>
      <c r="F86" s="17" t="inlineStr">
        <is>
          <t>نحن/موقع:lib/calc/settlement.ts</t>
        </is>
      </c>
      <c r="G86" s="17" t="inlineStr">
        <is>
          <t>نفسها</t>
        </is>
      </c>
      <c r="H86" s="18" t="inlineStr">
        <is>
          <t>مطابق</t>
        </is>
      </c>
      <c r="I86" s="17" t="inlineStr"/>
      <c r="J86" s="17" t="inlineStr">
        <is>
          <t>تشغيل</t>
        </is>
      </c>
    </row>
    <row r="87">
      <c r="A87" s="16" t="n">
        <v>86</v>
      </c>
      <c r="B87" s="17" t="inlineStr">
        <is>
          <t>المخالصة</t>
        </is>
      </c>
      <c r="C87" s="17" t="inlineStr">
        <is>
          <t>الرصيد المتبقي وبدله</t>
        </is>
      </c>
      <c r="D87" s="17" t="inlineStr">
        <is>
          <t>هم/HR:pages/finance/EosCalc.jsx</t>
        </is>
      </c>
      <c r="E87" s="17" t="inlineStr">
        <is>
          <t>max(0، المستحق − المأخوذ) × الراتب÷30</t>
        </is>
      </c>
      <c r="F87" s="17" t="inlineStr">
        <is>
          <t>نحن/موقع:lib/calc/settlement.ts</t>
        </is>
      </c>
      <c r="G87" s="17" t="inlineStr">
        <is>
          <t>نفسها</t>
        </is>
      </c>
      <c r="H87" s="18" t="inlineStr">
        <is>
          <t>مطابق</t>
        </is>
      </c>
      <c r="I87" s="17" t="inlineStr"/>
      <c r="J87" s="17" t="inlineStr">
        <is>
          <t>تشغيل</t>
        </is>
      </c>
    </row>
    <row r="88">
      <c r="A88" s="16" t="n">
        <v>87</v>
      </c>
      <c r="B88" s="17" t="inlineStr">
        <is>
          <t>المخالصة</t>
        </is>
      </c>
      <c r="C88" s="17" t="inlineStr">
        <is>
          <t>راتب الفترة</t>
        </is>
      </c>
      <c r="D88" s="17" t="inlineStr">
        <is>
          <t>هم/HR:pages/finance/EosCalc.jsx</t>
        </is>
      </c>
      <c r="E88" s="17" t="inlineStr">
        <is>
          <t>الراتب÷أيام الشهر × أيام الحضور، أو الراتب كاملاً</t>
        </is>
      </c>
      <c r="F88" s="17" t="inlineStr">
        <is>
          <t>نحن/موقع:lib/calc/settlement.ts</t>
        </is>
      </c>
      <c r="G88" s="17" t="inlineStr">
        <is>
          <t>نفسها</t>
        </is>
      </c>
      <c r="H88" s="18" t="inlineStr">
        <is>
          <t>مطابق</t>
        </is>
      </c>
      <c r="I88" s="17" t="inlineStr"/>
      <c r="J88" s="17" t="inlineStr">
        <is>
          <t>تشغيل</t>
        </is>
      </c>
    </row>
    <row r="89">
      <c r="A89" s="16" t="n">
        <v>88</v>
      </c>
      <c r="B89" s="17" t="inlineStr">
        <is>
          <t>المخالصة</t>
        </is>
      </c>
      <c r="C89" s="17" t="inlineStr">
        <is>
          <t>خصم الإجازة الزائدة</t>
        </is>
      </c>
      <c r="D89" s="17" t="inlineStr">
        <is>
          <t>هم/HR:pages/finance/EosCalc.jsx</t>
        </is>
      </c>
      <c r="E89" s="17" t="inlineStr">
        <is>
          <t>max(0، المأخوذ − المستحق) × الراتب÷30</t>
        </is>
      </c>
      <c r="F89" s="17" t="inlineStr">
        <is>
          <t>نحن/موقع:lib/calc/settlement.ts</t>
        </is>
      </c>
      <c r="G89" s="17" t="inlineStr">
        <is>
          <t>نفسها</t>
        </is>
      </c>
      <c r="H89" s="18" t="inlineStr">
        <is>
          <t>مطابق</t>
        </is>
      </c>
      <c r="I89" s="17" t="inlineStr"/>
      <c r="J89" s="17" t="inlineStr">
        <is>
          <t>تشغيل</t>
        </is>
      </c>
    </row>
    <row r="90">
      <c r="A90" s="16" t="n">
        <v>89</v>
      </c>
      <c r="B90" s="17" t="inlineStr">
        <is>
          <t>المخالصة</t>
        </is>
      </c>
      <c r="C90" s="17" t="inlineStr">
        <is>
          <t>الإضافات والخصومات (مبلغ أو أيام)</t>
        </is>
      </c>
      <c r="D90" s="17" t="inlineStr">
        <is>
          <t>هم/HR:pages/finance/EosCalc.jsx</t>
        </is>
      </c>
      <c r="E90" s="17" t="inlineStr">
        <is>
          <t>الأيام = الراتب ÷ (أيام الشهر أو 30) × العدد</t>
        </is>
      </c>
      <c r="F90" s="17" t="inlineStr">
        <is>
          <t>نحن/موقع:lib/calc/settlement.ts</t>
        </is>
      </c>
      <c r="G90" s="17" t="inlineStr">
        <is>
          <t>نفسها</t>
        </is>
      </c>
      <c r="H90" s="18" t="inlineStr">
        <is>
          <t>مطابق</t>
        </is>
      </c>
      <c r="I90" s="17" t="inlineStr"/>
      <c r="J90" s="17" t="inlineStr">
        <is>
          <t>تشغيل</t>
        </is>
      </c>
    </row>
    <row r="91">
      <c r="A91" s="16" t="n">
        <v>90</v>
      </c>
      <c r="B91" s="17" t="inlineStr">
        <is>
          <t>المخالصة</t>
        </is>
      </c>
      <c r="C91" s="17" t="inlineStr">
        <is>
          <t>الصافي</t>
        </is>
      </c>
      <c r="D91" s="17" t="inlineStr">
        <is>
          <t>هم/HR:pages/finance/EosCalc.jsx</t>
        </is>
      </c>
      <c r="E91" s="17" t="inlineStr">
        <is>
          <t>max(0، المكافأة + بدل الإجازة + راتب الفترة + الإضافات − الخصومات − خصم الزائد)</t>
        </is>
      </c>
      <c r="F91" s="17" t="inlineStr">
        <is>
          <t>نحن/موقع:lib/calc/settlement.ts</t>
        </is>
      </c>
      <c r="G91" s="17" t="inlineStr">
        <is>
          <t>نفسها</t>
        </is>
      </c>
      <c r="H91" s="19" t="inlineStr">
        <is>
          <t>غير مطابق</t>
        </is>
      </c>
      <c r="I91" s="17" t="inlineStr">
        <is>
          <t>يتبع فرق م.87</t>
        </is>
      </c>
      <c r="J91" s="17" t="inlineStr">
        <is>
          <t>تشغيل 1,900 حالة</t>
        </is>
      </c>
    </row>
    <row r="92">
      <c r="A92" s="16" t="n">
        <v>91</v>
      </c>
      <c r="B92" s="17" t="inlineStr">
        <is>
          <t>المخالصة</t>
        </is>
      </c>
      <c r="C92" s="17" t="inlineStr">
        <is>
          <t>تقريب المدخلات</t>
        </is>
      </c>
      <c r="D92" s="17" t="inlineStr">
        <is>
          <t>هم/HR:pages/finance/EosCalc.jsx</t>
        </is>
      </c>
      <c r="E92" s="17" t="inlineStr">
        <is>
          <t>تقبل الكسور</t>
        </is>
      </c>
      <c r="F92" s="17" t="inlineStr">
        <is>
          <t>نحن/موقع:lib/calc/settlement.ts</t>
        </is>
      </c>
      <c r="G92" s="17" t="inlineStr">
        <is>
          <t>أيام الإجازة والمأخوذ وأيام الشهر والحضور أعداد صحيحة (Math.trunc)</t>
        </is>
      </c>
      <c r="H92" s="20" t="inlineStr">
        <is>
          <t>شبه مطابق</t>
        </is>
      </c>
      <c r="I92" s="17" t="inlineStr">
        <is>
          <t>يختلف فقط لو أُدخلت كسور</t>
        </is>
      </c>
      <c r="J92" s="17" t="inlineStr">
        <is>
          <t>قراءة</t>
        </is>
      </c>
    </row>
    <row r="93">
      <c r="A93" s="16" t="n">
        <v>92</v>
      </c>
      <c r="B93" s="17" t="inlineStr">
        <is>
          <t>المخالصة</t>
        </is>
      </c>
      <c r="C93" s="17" t="inlineStr">
        <is>
          <t>الراتب الافتراضي عند اختيار الموظف</t>
        </is>
      </c>
      <c r="D93" s="17" t="inlineStr">
        <is>
          <t>هم/HR:pages/finance/EosCalc.jsx pick</t>
        </is>
      </c>
      <c r="E93" s="17" t="inlineStr">
        <is>
          <t>salaryTotal أو مجموع البدلات</t>
        </is>
      </c>
      <c r="F93" s="17" t="inlineStr">
        <is>
          <t>نحن/موقع:settlement/page.tsx</t>
        </is>
      </c>
      <c r="G93" s="17" t="inlineStr">
        <is>
          <t>total_salary</t>
        </is>
      </c>
      <c r="H93" s="18" t="inlineStr">
        <is>
          <t>مطابق</t>
        </is>
      </c>
      <c r="I93" s="17" t="inlineStr"/>
      <c r="J93" s="17" t="inlineStr">
        <is>
          <t>قراءة</t>
        </is>
      </c>
    </row>
    <row r="94">
      <c r="A94" s="16" t="n">
        <v>93</v>
      </c>
      <c r="B94" s="17" t="inlineStr">
        <is>
          <t>المخالصة</t>
        </is>
      </c>
      <c r="C94" s="17" t="inlineStr">
        <is>
          <t>مستند المخالصة والتفقيط</t>
        </is>
      </c>
      <c r="D94" s="17" t="inlineStr">
        <is>
          <t>هم/HR:lib/settlementDoc.js</t>
        </is>
      </c>
      <c r="E94" s="17" t="inlineStr">
        <is>
          <t>المبالغ + التفقيط</t>
        </is>
      </c>
      <c r="F94" s="17" t="inlineStr">
        <is>
          <t>نحن/موقع:lib/calc/settlement-doc.ts</t>
        </is>
      </c>
      <c r="G94" s="17" t="inlineStr">
        <is>
          <t>نفسها</t>
        </is>
      </c>
      <c r="H94" s="18" t="inlineStr">
        <is>
          <t>مطابق</t>
        </is>
      </c>
      <c r="I94" s="17" t="inlineStr"/>
      <c r="J94" s="17" t="inlineStr">
        <is>
          <t>قراءة</t>
        </is>
      </c>
    </row>
    <row r="95">
      <c r="A95" s="16" t="n">
        <v>94</v>
      </c>
      <c r="B95" s="17" t="inlineStr">
        <is>
          <t>المخالصة</t>
        </is>
      </c>
      <c r="C95" s="17" t="inlineStr">
        <is>
          <t>مخالصة مصر</t>
        </is>
      </c>
      <c r="D95" s="17" t="inlineStr">
        <is>
          <t>هم/HR:pages/finance/EosCalc.jsx</t>
        </is>
      </c>
      <c r="E95" s="17" t="inlineStr">
        <is>
          <t>نسبة الاستقالة وتعويض م.77 ورصيد الإجازة لمصر</t>
        </is>
      </c>
      <c r="F95" s="17" t="inlineStr">
        <is>
          <t>—</t>
        </is>
      </c>
      <c r="G95" s="17" t="inlineStr">
        <is>
          <t>—</t>
        </is>
      </c>
      <c r="H95" s="21" t="inlineStr">
        <is>
          <t>عندهم فقط</t>
        </is>
      </c>
      <c r="I95" s="17" t="inlineStr"/>
      <c r="J95" s="17" t="inlineStr">
        <is>
          <t>قراءة</t>
        </is>
      </c>
    </row>
    <row r="96">
      <c r="A96" s="16" t="n">
        <v>95</v>
      </c>
      <c r="B96" s="17" t="inlineStr">
        <is>
          <t>الإجازات</t>
        </is>
      </c>
      <c r="C96" s="17" t="inlineStr">
        <is>
          <t>يوم العمل</t>
        </is>
      </c>
      <c r="D96" s="17" t="inlineStr">
        <is>
          <t>هم/HR:engines/holidays.js isLeaveWorkday</t>
        </is>
      </c>
      <c r="E96" s="17" t="inlineStr">
        <is>
          <t>ليس جمعة أو سبت (مصر: حسب الإعداد) وليس عطلة</t>
        </is>
      </c>
      <c r="F96" s="17" t="inlineStr">
        <is>
          <t>نحن/خادم:services/leave.py is_workday</t>
        </is>
      </c>
      <c r="G96" s="17" t="inlineStr">
        <is>
          <t>ليس جمعة أو سبت وليس عطلة</t>
        </is>
      </c>
      <c r="H96" s="18" t="inlineStr">
        <is>
          <t>مطابق</t>
        </is>
      </c>
      <c r="I96" s="17" t="inlineStr">
        <is>
          <t>مطابق للسعودية</t>
        </is>
      </c>
      <c r="J96" s="17" t="inlineStr">
        <is>
          <t>تشغيل</t>
        </is>
      </c>
    </row>
    <row r="97">
      <c r="A97" s="16" t="n">
        <v>96</v>
      </c>
      <c r="B97" s="17" t="inlineStr">
        <is>
          <t>الإجازات</t>
        </is>
      </c>
      <c r="C97" s="17" t="inlineStr">
        <is>
          <t>توسيع العطل الرسمية</t>
        </is>
      </c>
      <c r="D97" s="17" t="inlineStr">
        <is>
          <t>هم/HR:engines/holidays.js holidayDatesForYear</t>
        </is>
      </c>
      <c r="E97" s="17" t="inlineStr">
        <is>
          <t>متعددة الأيام + المتكررة تنتقل للسنة</t>
        </is>
      </c>
      <c r="F97" s="17" t="inlineStr">
        <is>
          <t>نحن/خادم:services/leave.py HolidayCalendar</t>
        </is>
      </c>
      <c r="G97" s="17" t="inlineStr">
        <is>
          <t>نفسها</t>
        </is>
      </c>
      <c r="H97" s="18" t="inlineStr">
        <is>
          <t>مطابق</t>
        </is>
      </c>
      <c r="I97" s="17" t="inlineStr"/>
      <c r="J97" s="17" t="inlineStr">
        <is>
          <t>تشغيل</t>
        </is>
      </c>
    </row>
    <row r="98">
      <c r="A98" s="16" t="n">
        <v>97</v>
      </c>
      <c r="B98" s="17" t="inlineStr">
        <is>
          <t>الإجازات</t>
        </is>
      </c>
      <c r="C98" s="17" t="inlineStr">
        <is>
          <t>أيام العمل في السنة</t>
        </is>
      </c>
      <c r="D98" s="17" t="inlineStr">
        <is>
          <t>هم/HR:engines/leave.js leaveWorkingDaysInYear</t>
        </is>
      </c>
      <c r="E98" s="17" t="inlineStr">
        <is>
          <t>عدد أيام العمل من 1/1 إلى 31/12</t>
        </is>
      </c>
      <c r="F98" s="17" t="inlineStr">
        <is>
          <t>نحن/خادم:services/leave.py workdays_in_year</t>
        </is>
      </c>
      <c r="G98" s="17" t="inlineStr">
        <is>
          <t>نفسها</t>
        </is>
      </c>
      <c r="H98" s="18" t="inlineStr">
        <is>
          <t>مطابق</t>
        </is>
      </c>
      <c r="I98" s="17" t="inlineStr"/>
      <c r="J98" s="17" t="inlineStr">
        <is>
          <t>تشغيل</t>
        </is>
      </c>
    </row>
    <row r="99">
      <c r="A99" s="16" t="n">
        <v>98</v>
      </c>
      <c r="B99" s="17" t="inlineStr">
        <is>
          <t>الإجازات</t>
        </is>
      </c>
      <c r="C99" s="17" t="inlineStr">
        <is>
          <t>طريقة الاستحقاق</t>
        </is>
      </c>
      <c r="D99" s="17" t="inlineStr">
        <is>
          <t>هم/HR:engines/leave.js leaveAccruedForPeriod</t>
        </is>
      </c>
      <c r="E99" s="17" t="inlineStr">
        <is>
          <t>تقويمية (افتراضي) أو شهرية أو أيام عمل</t>
        </is>
      </c>
      <c r="F99" s="17" t="inlineStr">
        <is>
          <t>نحن/خادم:services/leave.py accrued</t>
        </is>
      </c>
      <c r="G99" s="17" t="inlineStr">
        <is>
          <t>أيام عمل فقط: السنوي × أيام العمل المنقضية ÷ أيام عمل السنة</t>
        </is>
      </c>
      <c r="H99" s="19" t="inlineStr">
        <is>
          <t>غير مطابق</t>
        </is>
      </c>
      <c r="I99" s="17" t="inlineStr">
        <is>
          <t>286 من 300 موظف بالتقويمية؛ 7 فقط بطريقة أيام العمل</t>
        </is>
      </c>
      <c r="J99" s="17" t="inlineStr">
        <is>
          <t>تشغيل 300 موظف × 3 طرق</t>
        </is>
      </c>
    </row>
    <row r="100">
      <c r="A100" s="16" t="n">
        <v>99</v>
      </c>
      <c r="B100" s="17" t="inlineStr">
        <is>
          <t>الإجازات</t>
        </is>
      </c>
      <c r="C100" s="17" t="inlineStr">
        <is>
          <t>حد الترحيل</t>
        </is>
      </c>
      <c r="D100" s="17" t="inlineStr">
        <is>
          <t>هم/HR:engines/leave.js leaveCarryCap</t>
        </is>
      </c>
      <c r="E100" s="17" t="inlineStr">
        <is>
          <t>إعداد (افتراضي 10) أو بدون حد</t>
        </is>
      </c>
      <c r="F100" s="17" t="inlineStr">
        <is>
          <t>نحن/خادم:services/leave.py CARRY_CAP</t>
        </is>
      </c>
      <c r="G100" s="17" t="inlineStr">
        <is>
          <t>10 ثابت</t>
        </is>
      </c>
      <c r="H100" s="20" t="inlineStr">
        <is>
          <t>شبه مطابق</t>
        </is>
      </c>
      <c r="I100" s="17" t="inlineStr">
        <is>
          <t>نفس القيمة الافتراضية</t>
        </is>
      </c>
      <c r="J100" s="17" t="inlineStr">
        <is>
          <t>قراءة</t>
        </is>
      </c>
    </row>
    <row r="101">
      <c r="A101" s="16" t="n">
        <v>100</v>
      </c>
      <c r="B101" s="17" t="inlineStr">
        <is>
          <t>الإجازات</t>
        </is>
      </c>
      <c r="C101" s="17" t="inlineStr">
        <is>
          <t>ترحيل 2024</t>
        </is>
      </c>
      <c r="D101" s="17" t="inlineStr">
        <is>
          <t>—</t>
        </is>
      </c>
      <c r="E101" s="17" t="inlineStr">
        <is>
          <t>لا يوجد</t>
        </is>
      </c>
      <c r="F101" s="17" t="inlineStr">
        <is>
          <t>نحن/خادم:services/leave.py carry_forward</t>
        </is>
      </c>
      <c r="G101" s="17" t="inlineStr">
        <is>
          <t>قاعدة خاصة: إقفال 2023 − 10</t>
        </is>
      </c>
      <c r="H101" s="22" t="inlineStr">
        <is>
          <t>عندنا فقط</t>
        </is>
      </c>
      <c r="I101" s="17" t="inlineStr"/>
      <c r="J101" s="17" t="inlineStr">
        <is>
          <t>قراءة</t>
        </is>
      </c>
    </row>
    <row r="102">
      <c r="A102" s="16" t="n">
        <v>101</v>
      </c>
      <c r="B102" s="17" t="inlineStr">
        <is>
          <t>الإجازات</t>
        </is>
      </c>
      <c r="C102" s="17" t="inlineStr">
        <is>
          <t>سلسلة الترحيل من السنة السابقة</t>
        </is>
      </c>
      <c r="D102" s="17" t="inlineStr">
        <is>
          <t>هم/HR:engines/leave.js leaveCarryForward</t>
        </is>
      </c>
      <c r="E102" s="17" t="inlineStr">
        <is>
          <t>override.carry ← صفر في سنة المباشرة ← carryNext السابق ← min(الحد، إقفال السابق)</t>
        </is>
      </c>
      <c r="F102" s="17" t="inlineStr">
        <is>
          <t>نحن/خادم:services/leave.py carry_forward</t>
        </is>
      </c>
      <c r="G102" s="17" t="inlineStr">
        <is>
          <t>نفسها، و carryNext بحد 10</t>
        </is>
      </c>
      <c r="H102" s="20" t="inlineStr">
        <is>
          <t>شبه مطابق</t>
        </is>
      </c>
      <c r="I102" s="17" t="inlineStr">
        <is>
          <t>حد 10 على carryNext عندنا فقط</t>
        </is>
      </c>
      <c r="J102" s="17" t="inlineStr">
        <is>
          <t>تشغيل</t>
        </is>
      </c>
    </row>
    <row r="103">
      <c r="A103" s="16" t="n">
        <v>102</v>
      </c>
      <c r="B103" s="17" t="inlineStr">
        <is>
          <t>الإجازات</t>
        </is>
      </c>
      <c r="C103" s="17" t="inlineStr">
        <is>
          <t>إقفال السنة</t>
        </is>
      </c>
      <c r="D103" s="17" t="inlineStr">
        <is>
          <t>هم/HR:engines/leave.js leaveYearLedger</t>
        </is>
      </c>
      <c r="E103" s="17" t="inlineStr">
        <is>
          <t>max(0، المرحل + الاستحقاق + التعديل − المستخدم)</t>
        </is>
      </c>
      <c r="F103" s="17" t="inlineStr">
        <is>
          <t>نحن/خادم:services/leave.py ledger</t>
        </is>
      </c>
      <c r="G103" s="17" t="inlineStr">
        <is>
          <t>نفسها</t>
        </is>
      </c>
      <c r="H103" s="20" t="inlineStr">
        <is>
          <t>شبه مطابق</t>
        </is>
      </c>
      <c r="I103" s="17" t="inlineStr">
        <is>
          <t>يختلف في التعامل مع الأرقام المستوردة</t>
        </is>
      </c>
      <c r="J103" s="17" t="inlineStr">
        <is>
          <t>تشغيل 269 سنة مختلفة</t>
        </is>
      </c>
    </row>
    <row r="104">
      <c r="A104" s="16" t="n">
        <v>103</v>
      </c>
      <c r="B104" s="17" t="inlineStr">
        <is>
          <t>الإجازات</t>
        </is>
      </c>
      <c r="C104" s="17" t="inlineStr">
        <is>
          <t>رصيد نهاية السنة المستورد (yearEnd)</t>
        </is>
      </c>
      <c r="D104" s="17" t="inlineStr">
        <is>
          <t>هم/HR:engines/leave.js</t>
        </is>
      </c>
      <c r="E104" s="17" t="inlineStr">
        <is>
          <t>يُعتمد فقط مع carry، ويُخصم منه ما استُخدم بعده</t>
        </is>
      </c>
      <c r="F104" s="17" t="inlineStr">
        <is>
          <t>نحن/خادم:services/leave.py</t>
        </is>
      </c>
      <c r="G104" s="17" t="inlineStr">
        <is>
          <t>يُعتمد وحده كما هو</t>
        </is>
      </c>
      <c r="H104" s="19" t="inlineStr">
        <is>
          <t>غير مطابق</t>
        </is>
      </c>
      <c r="I104" s="17" t="inlineStr"/>
      <c r="J104" s="17" t="inlineStr">
        <is>
          <t>تشغيل</t>
        </is>
      </c>
    </row>
    <row r="105">
      <c r="A105" s="16" t="n">
        <v>104</v>
      </c>
      <c r="B105" s="17" t="inlineStr">
        <is>
          <t>الإجازات</t>
        </is>
      </c>
      <c r="C105" s="17" t="inlineStr">
        <is>
          <t>الرصيد الحالي المستورد (current)</t>
        </is>
      </c>
      <c r="D105" s="17" t="inlineStr">
        <is>
          <t>هم/HR:engines/leave.js leaveCurrentLedger</t>
        </is>
      </c>
      <c r="E105" s="17" t="inlineStr">
        <is>
          <t>يُخصم ما استُخدم بعده + يضاف الاستحقاق من تاريخه</t>
        </is>
      </c>
      <c r="F105" s="17" t="inlineStr">
        <is>
          <t>نحن/خادم:services/leave.py current</t>
        </is>
      </c>
      <c r="G105" s="17" t="inlineStr">
        <is>
          <t>يُعتمد كما هو</t>
        </is>
      </c>
      <c r="H105" s="19" t="inlineStr">
        <is>
          <t>غير مطابق</t>
        </is>
      </c>
      <c r="I105" s="17" t="inlineStr"/>
      <c r="J105" s="17" t="inlineStr">
        <is>
          <t>تشغيل</t>
        </is>
      </c>
    </row>
    <row r="106">
      <c r="A106" s="16" t="n">
        <v>105</v>
      </c>
      <c r="B106" s="17" t="inlineStr">
        <is>
          <t>الإجازات</t>
        </is>
      </c>
      <c r="C106" s="17" t="inlineStr">
        <is>
          <t>المستخدم الأساسي (baseline)</t>
        </is>
      </c>
      <c r="D106" s="17" t="inlineStr">
        <is>
          <t>هم/HR:engines/leave.js leaveDefaultUsed</t>
        </is>
      </c>
      <c r="E106" s="17" t="inlineStr">
        <is>
          <t>max(leaveUsed&lt;سنة&gt;، السجل، override.used)</t>
        </is>
      </c>
      <c r="F106" s="17" t="inlineStr">
        <is>
          <t>نحن/خادم:services/leave.py default_used</t>
        </is>
      </c>
      <c r="G106" s="17" t="inlineStr">
        <is>
          <t>max(السجل، override.used)</t>
        </is>
      </c>
      <c r="H106" s="20" t="inlineStr">
        <is>
          <t>شبه مطابق</t>
        </is>
      </c>
      <c r="I106" s="17" t="inlineStr">
        <is>
          <t>حقل إضافي عندهم</t>
        </is>
      </c>
      <c r="J106" s="17" t="inlineStr">
        <is>
          <t>قراءة</t>
        </is>
      </c>
    </row>
    <row r="107">
      <c r="A107" s="16" t="n">
        <v>106</v>
      </c>
      <c r="B107" s="17" t="inlineStr">
        <is>
          <t>الإجازات</t>
        </is>
      </c>
      <c r="C107" s="17" t="inlineStr">
        <is>
          <t>الإجازات المعتمدة بعد تاريخ اللقطة (asOf)</t>
        </is>
      </c>
      <c r="D107" s="17" t="inlineStr">
        <is>
          <t>هم/HR:engines/leave.js</t>
        </is>
      </c>
      <c r="E107" s="17" t="inlineStr">
        <is>
          <t>تُحسب فقط بعد تاريخ اللقطة</t>
        </is>
      </c>
      <c r="F107" s="17" t="inlineStr">
        <is>
          <t>نحن/خادم:services/leave.py</t>
        </is>
      </c>
      <c r="G107" s="17" t="inlineStr">
        <is>
          <t>نفسها</t>
        </is>
      </c>
      <c r="H107" s="18" t="inlineStr">
        <is>
          <t>مطابق</t>
        </is>
      </c>
      <c r="I107" s="17" t="inlineStr"/>
      <c r="J107" s="17" t="inlineStr">
        <is>
          <t>تشغيل</t>
        </is>
      </c>
    </row>
    <row r="108">
      <c r="A108" s="16" t="n">
        <v>107</v>
      </c>
      <c r="B108" s="17" t="inlineStr">
        <is>
          <t>الإجازات</t>
        </is>
      </c>
      <c r="C108" s="17" t="inlineStr">
        <is>
          <t>استرجاع السنوية المقطوعة بإجازة أخرى</t>
        </is>
      </c>
      <c r="D108" s="17" t="inlineStr">
        <is>
          <t>هم/HR:engines/leave.js annualLeaveNetDays</t>
        </is>
      </c>
      <c r="E108" s="17" t="inlineStr">
        <is>
          <t>أيام العمل المغطاة بمرضية/اضطرارية/وفاة/زواج/أبوة/أمومة/حج/عمرة/بدون راتب ترجع للرصيد</t>
        </is>
      </c>
      <c r="F108" s="17" t="inlineStr">
        <is>
          <t>—</t>
        </is>
      </c>
      <c r="G108" s="17" t="inlineStr">
        <is>
          <t>—</t>
        </is>
      </c>
      <c r="H108" s="21" t="inlineStr">
        <is>
          <t>عندهم فقط</t>
        </is>
      </c>
      <c r="I108" s="17" t="inlineStr">
        <is>
          <t>صحيح نظامياً</t>
        </is>
      </c>
      <c r="J108" s="17" t="inlineStr">
        <is>
          <t>تشغيل</t>
        </is>
      </c>
    </row>
    <row r="109">
      <c r="A109" s="16" t="n">
        <v>108</v>
      </c>
      <c r="B109" s="17" t="inlineStr">
        <is>
          <t>الإجازات</t>
        </is>
      </c>
      <c r="C109" s="17" t="inlineStr">
        <is>
          <t>التعديلات اليدوية</t>
        </is>
      </c>
      <c r="D109" s="17" t="inlineStr">
        <is>
          <t>هم/HR:engines/leave.js leaveManualNet</t>
        </is>
      </c>
      <c r="E109" s="17" t="inlineStr">
        <is>
          <t>مجموع +/− داخل السنة حتى التاريخ</t>
        </is>
      </c>
      <c r="F109" s="17" t="inlineStr">
        <is>
          <t>نحن/خادم:services/leave.py manual_net</t>
        </is>
      </c>
      <c r="G109" s="17" t="inlineStr">
        <is>
          <t>نفسها</t>
        </is>
      </c>
      <c r="H109" s="18" t="inlineStr">
        <is>
          <t>مطابق</t>
        </is>
      </c>
      <c r="I109" s="17" t="inlineStr"/>
      <c r="J109" s="17" t="inlineStr">
        <is>
          <t>تشغيل</t>
        </is>
      </c>
    </row>
    <row r="110">
      <c r="A110" s="16" t="n">
        <v>109</v>
      </c>
      <c r="B110" s="17" t="inlineStr">
        <is>
          <t>الإجازات</t>
        </is>
      </c>
      <c r="C110" s="17" t="inlineStr">
        <is>
          <t>فائض نهاية الخدمة لكل سنة</t>
        </is>
      </c>
      <c r="D110" s="17" t="inlineStr">
        <is>
          <t>هم/HR:engines/leave.js leaveEosOf</t>
        </is>
      </c>
      <c r="E110" s="17" t="inlineStr">
        <is>
          <t>max(0، الإقفال − الحد) لكل سنة</t>
        </is>
      </c>
      <c r="F110" s="17" t="inlineStr">
        <is>
          <t>نحن/خادم:services/leave.py ledger</t>
        </is>
      </c>
      <c r="G110" s="17" t="inlineStr">
        <is>
          <t>نفسها من 2024 فقط</t>
        </is>
      </c>
      <c r="H110" s="19" t="inlineStr">
        <is>
          <t>غير مطابق</t>
        </is>
      </c>
      <c r="I110" s="17" t="inlineStr">
        <is>
          <t>238 من 242 ممن باشر قبل 2024</t>
        </is>
      </c>
      <c r="J110" s="17" t="inlineStr">
        <is>
          <t>تشغيل</t>
        </is>
      </c>
    </row>
    <row r="111">
      <c r="A111" s="16" t="n">
        <v>110</v>
      </c>
      <c r="B111" s="17" t="inlineStr">
        <is>
          <t>الإجازات</t>
        </is>
      </c>
      <c r="C111" s="17" t="inlineStr">
        <is>
          <t>فائض نهاية الخدمة المتراكم</t>
        </is>
      </c>
      <c r="D111" s="17" t="inlineStr">
        <is>
          <t>هم/HR:engines/leave.js leaveAccumulatedEos</t>
        </is>
      </c>
      <c r="E111" s="17" t="inlineStr">
        <is>
          <t>مجموع الفائض من أول سنة، بدون الحقل القديم</t>
        </is>
      </c>
      <c r="F111" s="17" t="inlineStr">
        <is>
          <t>نحن/خادم:services/leave.py accumulated_eos</t>
        </is>
      </c>
      <c r="G111" s="17" t="inlineStr">
        <is>
          <t>الحقل القديم leave_eos_excess + الفائض من 2024</t>
        </is>
      </c>
      <c r="H111" s="19" t="inlineStr">
        <is>
          <t>غير مطابق</t>
        </is>
      </c>
      <c r="I111" s="17" t="inlineStr">
        <is>
          <t>قالوا إن الحقل القديم كان يُحسب مرتين</t>
        </is>
      </c>
      <c r="J111" s="17" t="inlineStr">
        <is>
          <t>تشغيل 241 موظف</t>
        </is>
      </c>
    </row>
    <row r="112">
      <c r="A112" s="16" t="n">
        <v>111</v>
      </c>
      <c r="B112" s="17" t="inlineStr">
        <is>
          <t>الإجازات</t>
        </is>
      </c>
      <c r="C112" s="17" t="inlineStr">
        <is>
          <t>المجاميع منذ المباشرة (مستحق/مستخدم/متبقي)</t>
        </is>
      </c>
      <c r="D112" s="17" t="inlineStr">
        <is>
          <t>هم/HR:engines/leave.js leaveCumulative*</t>
        </is>
      </c>
      <c r="E112" s="17" t="inlineStr">
        <is>
          <t>مجموع السنوات حتى اليوم</t>
        </is>
      </c>
      <c r="F112" s="17" t="inlineStr">
        <is>
          <t>نحن/خادم:services/leave.py cumulative_*</t>
        </is>
      </c>
      <c r="G112" s="17" t="inlineStr">
        <is>
          <t>نفسها</t>
        </is>
      </c>
      <c r="H112" s="18" t="inlineStr">
        <is>
          <t>مطابق</t>
        </is>
      </c>
      <c r="I112" s="17" t="inlineStr">
        <is>
          <t>مطابق بطريقة أيام العمل</t>
        </is>
      </c>
      <c r="J112" s="17" t="inlineStr">
        <is>
          <t>تشغيل</t>
        </is>
      </c>
    </row>
    <row r="113">
      <c r="A113" s="16" t="n">
        <v>112</v>
      </c>
      <c r="B113" s="17" t="inlineStr">
        <is>
          <t>الإجازات</t>
        </is>
      </c>
      <c r="C113" s="17" t="inlineStr">
        <is>
          <t>رصيد تطبيق الموظف</t>
        </is>
      </c>
      <c r="D113" s="17" t="inlineStr">
        <is>
          <t>هم/تطبيق:employee/liveLeave.js</t>
        </is>
      </c>
      <c r="E113" s="17" t="inlineStr">
        <is>
          <t>لقطة يكتبها متصفح الموارد + إكمال الاستحقاق من تاريخها</t>
        </is>
      </c>
      <c r="F113" s="17" t="inlineStr">
        <is>
          <t>نحن/خادم:services/leave.py app_current</t>
        </is>
      </c>
      <c r="G113" s="17" t="inlineStr">
        <is>
          <t>الخادم: الإجازة التي بدأت تُخصم كاملة (ariba_leave_calc)</t>
        </is>
      </c>
      <c r="H113" s="19" t="inlineStr">
        <is>
          <t>غير مطابق</t>
        </is>
      </c>
      <c r="I113" s="17" t="inlineStr">
        <is>
          <t>طريقة مختلفة تماماً</t>
        </is>
      </c>
      <c r="J113" s="17" t="inlineStr">
        <is>
          <t>قراءة</t>
        </is>
      </c>
    </row>
    <row r="114">
      <c r="A114" s="16" t="n">
        <v>113</v>
      </c>
      <c r="B114" s="17" t="inlineStr">
        <is>
          <t>الإجازات</t>
        </is>
      </c>
      <c r="C114" s="17" t="inlineStr">
        <is>
          <t>رصيد نهاية السنة في التطبيق</t>
        </is>
      </c>
      <c r="D114" s="17" t="inlineStr">
        <is>
          <t>—</t>
        </is>
      </c>
      <c r="E114" s="17" t="inlineStr">
        <is>
          <t>لا يوجد</t>
        </is>
      </c>
      <c r="F114" s="17" t="inlineStr">
        <is>
          <t>نحن/خادم:services/leave.py app_year_end</t>
        </is>
      </c>
      <c r="G114" s="17" t="inlineStr">
        <is>
          <t>yearEnd المستورد مع carry، ويُخصم ما بعده</t>
        </is>
      </c>
      <c r="H114" s="22" t="inlineStr">
        <is>
          <t>عندنا فقط</t>
        </is>
      </c>
      <c r="I114" s="17" t="inlineStr"/>
      <c r="J114" s="17" t="inlineStr">
        <is>
          <t>قراءة</t>
        </is>
      </c>
    </row>
    <row r="115">
      <c r="A115" s="16" t="n">
        <v>114</v>
      </c>
      <c r="B115" s="17" t="inlineStr">
        <is>
          <t>الإجازات</t>
        </is>
      </c>
      <c r="C115" s="17" t="inlineStr">
        <is>
          <t>رصيد الموظف المنتهي</t>
        </is>
      </c>
      <c r="D115" s="17" t="inlineStr">
        <is>
          <t>—</t>
        </is>
      </c>
      <c r="E115" s="17" t="inlineStr">
        <is>
          <t>لا يوجد تجميد</t>
        </is>
      </c>
      <c r="F115" s="17" t="inlineStr">
        <is>
          <t>نحن/خادم:services/leave.py summary</t>
        </is>
      </c>
      <c r="G115" s="17" t="inlineStr">
        <is>
          <t>يُجمَّد على yearEnd لآخر سنة (V93)</t>
        </is>
      </c>
      <c r="H115" s="22" t="inlineStr">
        <is>
          <t>عندنا فقط</t>
        </is>
      </c>
      <c r="I115" s="17" t="inlineStr"/>
      <c r="J115" s="17" t="inlineStr">
        <is>
          <t>قراءة</t>
        </is>
      </c>
    </row>
    <row r="116">
      <c r="A116" s="16" t="n">
        <v>115</v>
      </c>
      <c r="B116" s="17" t="inlineStr">
        <is>
          <t>الإجازات</t>
        </is>
      </c>
      <c r="C116" s="17" t="inlineStr">
        <is>
          <t>أيام طلب السنوية</t>
        </is>
      </c>
      <c r="D116" s="17" t="inlineStr">
        <is>
          <t>هم/HR:engines/leave.js leaveRequestDays</t>
        </is>
      </c>
      <c r="E116" s="17" t="inlineStr">
        <is>
          <t>أيام العمل بين التاريخين</t>
        </is>
      </c>
      <c r="F116" s="17" t="inlineStr">
        <is>
          <t>نحن/موقع:lib/leave.ts countWorkdays + نحن/خادم:leave.py request_days</t>
        </is>
      </c>
      <c r="G116" s="17" t="inlineStr">
        <is>
          <t>نفسها</t>
        </is>
      </c>
      <c r="H116" s="18" t="inlineStr">
        <is>
          <t>مطابق</t>
        </is>
      </c>
      <c r="I116" s="17" t="inlineStr"/>
      <c r="J116" s="17" t="inlineStr">
        <is>
          <t>قراءة</t>
        </is>
      </c>
    </row>
    <row r="117">
      <c r="A117" s="16" t="n">
        <v>116</v>
      </c>
      <c r="B117" s="17" t="inlineStr">
        <is>
          <t>الإجازات</t>
        </is>
      </c>
      <c r="C117" s="17" t="inlineStr">
        <is>
          <t>أيام طلب الإجازات الأخرى</t>
        </is>
      </c>
      <c r="D117" s="17" t="inlineStr">
        <is>
          <t>هم/HR:sql/10 ariba_submit_request</t>
        </is>
      </c>
      <c r="E117" s="17" t="inlineStr">
        <is>
          <t>(إلى − من) + 1</t>
        </is>
      </c>
      <c r="F117" s="17" t="inlineStr">
        <is>
          <t>نحن/خادم:services/leave.py request_days</t>
        </is>
      </c>
      <c r="G117" s="17" t="inlineStr">
        <is>
          <t>نفسها</t>
        </is>
      </c>
      <c r="H117" s="18" t="inlineStr">
        <is>
          <t>مطابق</t>
        </is>
      </c>
      <c r="I117" s="17" t="inlineStr"/>
      <c r="J117" s="17" t="inlineStr">
        <is>
          <t>قراءة</t>
        </is>
      </c>
    </row>
    <row r="118">
      <c r="A118" s="16" t="n">
        <v>117</v>
      </c>
      <c r="B118" s="17" t="inlineStr">
        <is>
          <t>الإجازات</t>
        </is>
      </c>
      <c r="C118" s="17" t="inlineStr">
        <is>
          <t>محرّر أرصدة السنوات</t>
        </is>
      </c>
      <c r="D118" s="17" t="inlineStr">
        <is>
          <t>هم/HR:pages/leaves/Balances.jsx recalc</t>
        </is>
      </c>
      <c r="E118" s="17" t="inlineStr">
        <is>
          <t>نهاية السنة = مرحل + استحقاق + تعديل − مستخدم · الحالي = مرحل + استحقاق × النسبة المنقضية + تعديل − مستخدم · المرحل = min(الحد، النهاية)</t>
        </is>
      </c>
      <c r="F118" s="17" t="inlineStr">
        <is>
          <t>نحن/خادم:canonical.py update_leave_balance</t>
        </is>
      </c>
      <c r="G118" s="17" t="inlineStr">
        <is>
          <t>نهاية السنة ومرحل التالي (حد 10) والفائض − 10، والحالي يدوي</t>
        </is>
      </c>
      <c r="H118" s="20" t="inlineStr">
        <is>
          <t>شبه مطابق</t>
        </is>
      </c>
      <c r="I118" s="17" t="inlineStr">
        <is>
          <t>الحالي يُحسب تلقائياً عندهم</t>
        </is>
      </c>
      <c r="J118" s="17" t="inlineStr">
        <is>
          <t>قراءة</t>
        </is>
      </c>
    </row>
    <row r="119">
      <c r="A119" s="16" t="n">
        <v>118</v>
      </c>
      <c r="B119" s="17" t="inlineStr">
        <is>
          <t>الإجازات</t>
        </is>
      </c>
      <c r="C119" s="17" t="inlineStr">
        <is>
          <t>أيام السنوية المتداخلة مع إجازة أخرى (معاينة)</t>
        </is>
      </c>
      <c r="D119" s="17" t="inlineStr">
        <is>
          <t>هم/HR:engines/leave.js overlapWithAnnual</t>
        </is>
      </c>
      <c r="E119" s="17" t="inlineStr">
        <is>
          <t>عدد الأيام التي سترجع للرصيد</t>
        </is>
      </c>
      <c r="F119" s="17" t="inlineStr">
        <is>
          <t>—</t>
        </is>
      </c>
      <c r="G119" s="17" t="inlineStr">
        <is>
          <t>—</t>
        </is>
      </c>
      <c r="H119" s="21" t="inlineStr">
        <is>
          <t>عندهم فقط</t>
        </is>
      </c>
      <c r="I119" s="17" t="inlineStr"/>
      <c r="J119" s="17" t="inlineStr">
        <is>
          <t>قراءة</t>
        </is>
      </c>
    </row>
    <row r="120">
      <c r="A120" s="16" t="n">
        <v>119</v>
      </c>
      <c r="B120" s="17" t="inlineStr">
        <is>
          <t>الإجازات</t>
        </is>
      </c>
      <c r="C120" s="17" t="inlineStr">
        <is>
          <t>الرصيد بعد الطلب في التطبيق</t>
        </is>
      </c>
      <c r="D120" s="17" t="inlineStr">
        <is>
          <t>هم/تطبيق:employee/Leaves.jsx</t>
        </is>
      </c>
      <c r="E120" s="17" t="inlineStr">
        <is>
          <t>الرصيد − أيام الطلب (عرض فقط)</t>
        </is>
      </c>
      <c r="F120" s="17" t="inlineStr">
        <is>
          <t>نحن/تطبيق:app/(tabs)/leaves.tsx</t>
        </is>
      </c>
      <c r="G120" s="17" t="inlineStr">
        <is>
          <t>الخادم يتحقق من الرصيد</t>
        </is>
      </c>
      <c r="H120" s="20" t="inlineStr">
        <is>
          <t>شبه مطابق</t>
        </is>
      </c>
      <c r="I120" s="17" t="inlineStr"/>
      <c r="J120" s="17" t="inlineStr">
        <is>
          <t>قراءة</t>
        </is>
      </c>
    </row>
    <row r="121">
      <c r="A121" s="16" t="n">
        <v>120</v>
      </c>
      <c r="B121" s="17" t="inlineStr">
        <is>
          <t>الإجازات</t>
        </is>
      </c>
      <c r="C121" s="17" t="inlineStr">
        <is>
          <t>إجازات مصر</t>
        </is>
      </c>
      <c r="D121" s="17" t="inlineStr">
        <is>
          <t>هم/HR:engines/country.js annualDays/accrued</t>
        </is>
      </c>
      <c r="E121" s="17" t="inlineStr">
        <is>
          <t>15 أول سنة، 21، 30 بعد 10 سنوات أو 50 عاماً</t>
        </is>
      </c>
      <c r="F121" s="17" t="inlineStr">
        <is>
          <t>—</t>
        </is>
      </c>
      <c r="G121" s="17" t="inlineStr">
        <is>
          <t>—</t>
        </is>
      </c>
      <c r="H121" s="21" t="inlineStr">
        <is>
          <t>عندهم فقط</t>
        </is>
      </c>
      <c r="I121" s="17" t="inlineStr"/>
      <c r="J121" s="17" t="inlineStr">
        <is>
          <t>قراءة</t>
        </is>
      </c>
    </row>
    <row r="122">
      <c r="A122" s="16" t="n">
        <v>121</v>
      </c>
      <c r="B122" s="17" t="inlineStr">
        <is>
          <t>الحضور والبصمة</t>
        </is>
      </c>
      <c r="C122" s="17" t="inlineStr">
        <is>
          <t>تجميع جلسات اليوم</t>
        </is>
      </c>
      <c r="D122" s="17" t="inlineStr">
        <is>
          <t>هم/HR:engines/attendance.js groupRows</t>
        </is>
      </c>
      <c r="E122" s="17" t="inlineStr">
        <is>
          <t>ترتيب، حذف المكرر، أول دخول، آخر خروج حقيقي، الساعات</t>
        </is>
      </c>
      <c r="F122" s="17" t="inlineStr">
        <is>
          <t>نحن/موقع:lib/calc/att-reports.ts groupRows</t>
        </is>
      </c>
      <c r="G122" s="17" t="inlineStr">
        <is>
          <t>نفسها</t>
        </is>
      </c>
      <c r="H122" s="18" t="inlineStr">
        <is>
          <t>مطابق</t>
        </is>
      </c>
      <c r="I122" s="17" t="inlineStr"/>
      <c r="J122" s="17" t="inlineStr">
        <is>
          <t>تشغيل 25 موظف × 290 يوم</t>
        </is>
      </c>
    </row>
    <row r="123">
      <c r="A123" s="16" t="n">
        <v>122</v>
      </c>
      <c r="B123" s="17" t="inlineStr">
        <is>
          <t>الحضور والبصمة</t>
        </is>
      </c>
      <c r="C123" s="17" t="inlineStr">
        <is>
          <t>تصنيف كل يوم</t>
        </is>
      </c>
      <c r="D123" s="17" t="inlineStr">
        <is>
          <t>هم/HR:engines/attendance.js compute</t>
        </is>
      </c>
      <c r="E123" s="17" t="inlineStr">
        <is>
          <t>حاضر/متأخر/غائب/إجازة/عن بعد/عطلة/لم يُسجَّل</t>
        </is>
      </c>
      <c r="F123" s="17" t="inlineStr">
        <is>
          <t>نحن/موقع:lib/calc/att-reports.ts computeReport</t>
        </is>
      </c>
      <c r="G123" s="17" t="inlineStr">
        <is>
          <t>نفسها</t>
        </is>
      </c>
      <c r="H123" s="18" t="inlineStr">
        <is>
          <t>مطابق</t>
        </is>
      </c>
      <c r="I123" s="17" t="inlineStr"/>
      <c r="J123" s="17" t="inlineStr">
        <is>
          <t>تشغيل</t>
        </is>
      </c>
    </row>
    <row r="124">
      <c r="A124" s="16" t="n">
        <v>123</v>
      </c>
      <c r="B124" s="17" t="inlineStr">
        <is>
          <t>الحضور والبصمة</t>
        </is>
      </c>
      <c r="C124" s="17" t="inlineStr">
        <is>
          <t>ملخص الموظف (المتوقع، التأخير، الخروج المبكر، النسبة، متوسط الدخول)</t>
        </is>
      </c>
      <c r="D124" s="17" t="inlineStr">
        <is>
          <t>هم/HR:engines/attendance.js compute</t>
        </is>
      </c>
      <c r="E124" s="17" t="inlineStr">
        <is>
          <t>النسبة = (حاضر+متأخر+عن بعد) ÷ (المتوقع − الإجازات)</t>
        </is>
      </c>
      <c r="F124" s="17" t="inlineStr">
        <is>
          <t>نحن/موقع:lib/calc/att-reports.ts</t>
        </is>
      </c>
      <c r="G124" s="17" t="inlineStr">
        <is>
          <t>نفسها</t>
        </is>
      </c>
      <c r="H124" s="18" t="inlineStr">
        <is>
          <t>مطابق</t>
        </is>
      </c>
      <c r="I124" s="17" t="inlineStr"/>
      <c r="J124" s="17" t="inlineStr">
        <is>
          <t>تشغيل</t>
        </is>
      </c>
    </row>
    <row r="125">
      <c r="A125" s="16" t="n">
        <v>124</v>
      </c>
      <c r="B125" s="17" t="inlineStr">
        <is>
          <t>الحضور والبصمة</t>
        </is>
      </c>
      <c r="C125" s="17" t="inlineStr">
        <is>
          <t>فلاتر التقرير</t>
        </is>
      </c>
      <c r="D125" s="17" t="inlineStr">
        <is>
          <t>هم/HR:engines/attendance.js FILTERS</t>
        </is>
      </c>
      <c r="E125" s="17" t="inlineStr">
        <is>
          <t>متأخر/غائب/خروج مبكر/بدون انصراف/عن بعد/إجازة/ملتزم</t>
        </is>
      </c>
      <c r="F125" s="17" t="inlineStr">
        <is>
          <t>نحن/موقع:components/hr/attendance-reports.tsx</t>
        </is>
      </c>
      <c r="G125" s="17" t="inlineStr">
        <is>
          <t>نفسها</t>
        </is>
      </c>
      <c r="H125" s="18" t="inlineStr">
        <is>
          <t>مطابق</t>
        </is>
      </c>
      <c r="I125" s="17" t="inlineStr"/>
      <c r="J125" s="17" t="inlineStr">
        <is>
          <t>قراءة</t>
        </is>
      </c>
    </row>
    <row r="126">
      <c r="A126" s="16" t="n">
        <v>125</v>
      </c>
      <c r="B126" s="17" t="inlineStr">
        <is>
          <t>الحضور والبصمة</t>
        </is>
      </c>
      <c r="C126" s="17" t="inlineStr">
        <is>
          <t>جدول الدوام الرسمي ورمضان</t>
        </is>
      </c>
      <c r="D126" s="17" t="inlineStr">
        <is>
          <t>هم/HR:lib/schedule.js evalPeriods</t>
        </is>
      </c>
      <c r="E126" s="17" t="inlineStr">
        <is>
          <t>التأخير = أول دخول − البداية (لو تجاوز السماح)، الخروج المبكر، النقص عن الساعات</t>
        </is>
      </c>
      <c r="F126" s="17" t="inlineStr">
        <is>
          <t>—</t>
        </is>
      </c>
      <c r="G126" s="17" t="inlineStr">
        <is>
          <t>—</t>
        </is>
      </c>
      <c r="H126" s="21" t="inlineStr">
        <is>
          <t>عندهم فقط</t>
        </is>
      </c>
      <c r="I126" s="17" t="inlineStr">
        <is>
          <t>مقفل افتراضياً</t>
        </is>
      </c>
      <c r="J126" s="17" t="inlineStr">
        <is>
          <t>قراءة</t>
        </is>
      </c>
    </row>
    <row r="127">
      <c r="A127" s="16" t="n">
        <v>126</v>
      </c>
      <c r="B127" s="17" t="inlineStr">
        <is>
          <t>الحضور والبصمة</t>
        </is>
      </c>
      <c r="C127" s="17" t="inlineStr">
        <is>
          <t>تحديد رمضان</t>
        </is>
      </c>
      <c r="D127" s="17" t="inlineStr">
        <is>
          <t>هم/HR:lib/schedule.js isRamadan</t>
        </is>
      </c>
      <c r="E127" s="17" t="inlineStr">
        <is>
          <t>التقويم الهجري أم القرى أو تواريخ يدوية</t>
        </is>
      </c>
      <c r="F127" s="17" t="inlineStr">
        <is>
          <t>—</t>
        </is>
      </c>
      <c r="G127" s="17" t="inlineStr">
        <is>
          <t>—</t>
        </is>
      </c>
      <c r="H127" s="21" t="inlineStr">
        <is>
          <t>عندهم فقط</t>
        </is>
      </c>
      <c r="I127" s="17" t="inlineStr"/>
      <c r="J127" s="17" t="inlineStr">
        <is>
          <t>قراءة</t>
        </is>
      </c>
    </row>
    <row r="128">
      <c r="A128" s="16" t="n">
        <v>127</v>
      </c>
      <c r="B128" s="17" t="inlineStr">
        <is>
          <t>الحضور والبصمة</t>
        </is>
      </c>
      <c r="C128" s="17" t="inlineStr">
        <is>
          <t>المسافة (haversine)</t>
        </is>
      </c>
      <c r="D128" s="17" t="inlineStr">
        <is>
          <t>هم/HR:sql ariba_attendance + هم/تطبيق:util.jsx hav</t>
        </is>
      </c>
      <c r="E128" s="17" t="inlineStr">
        <is>
          <t>2×6371000×asin(√…)</t>
        </is>
      </c>
      <c r="F128" s="17" t="inlineStr">
        <is>
          <t>نحن/خادم:canonical.py _distance_m + نحن/تطبيق:lib/geo.ts</t>
        </is>
      </c>
      <c r="G128" s="17" t="inlineStr">
        <is>
          <t>نفسها</t>
        </is>
      </c>
      <c r="H128" s="18" t="inlineStr">
        <is>
          <t>مطابق</t>
        </is>
      </c>
      <c r="I128" s="17" t="inlineStr"/>
      <c r="J128" s="17" t="inlineStr">
        <is>
          <t>قراءة</t>
        </is>
      </c>
    </row>
    <row r="129">
      <c r="A129" s="16" t="n">
        <v>128</v>
      </c>
      <c r="B129" s="17" t="inlineStr">
        <is>
          <t>الحضور والبصمة</t>
        </is>
      </c>
      <c r="C129" s="17" t="inlineStr">
        <is>
          <t>داخل المضلع</t>
        </is>
      </c>
      <c r="D129" s="17" t="inlineStr">
        <is>
          <t>هم/HR:sql ariba_point_in_polygon</t>
        </is>
      </c>
      <c r="E129" s="17" t="inlineStr">
        <is>
          <t>ray casting</t>
        </is>
      </c>
      <c r="F129" s="17" t="inlineStr">
        <is>
          <t>نحن/خادم:canonical.py _point_in_polygon</t>
        </is>
      </c>
      <c r="G129" s="17" t="inlineStr">
        <is>
          <t>نفسها</t>
        </is>
      </c>
      <c r="H129" s="18" t="inlineStr">
        <is>
          <t>مطابق</t>
        </is>
      </c>
      <c r="I129" s="17" t="inlineStr">
        <is>
          <t>مطابق في اختبارات المطابقة</t>
        </is>
      </c>
      <c r="J129" s="17" t="inlineStr">
        <is>
          <t>قراءة</t>
        </is>
      </c>
    </row>
    <row r="130">
      <c r="A130" s="16" t="n">
        <v>129</v>
      </c>
      <c r="B130" s="17" t="inlineStr">
        <is>
          <t>الحضور والبصمة</t>
        </is>
      </c>
      <c r="C130" s="17" t="inlineStr">
        <is>
          <t>اختيار الموقع (الأصغر أولاً)</t>
        </is>
      </c>
      <c r="D130" s="17" t="inlineStr">
        <is>
          <t>هم/HR:sql ariba_attendance</t>
        </is>
      </c>
      <c r="E130" s="17" t="inlineStr">
        <is>
          <t>المضلع أولاً ثم الدائرة الأصغر</t>
        </is>
      </c>
      <c r="F130" s="17" t="inlineStr">
        <is>
          <t>نحن/خادم:canonical.py _locate</t>
        </is>
      </c>
      <c r="G130" s="17" t="inlineStr">
        <is>
          <t>نفسها</t>
        </is>
      </c>
      <c r="H130" s="18" t="inlineStr">
        <is>
          <t>مطابق</t>
        </is>
      </c>
      <c r="I130" s="17" t="inlineStr"/>
      <c r="J130" s="17" t="inlineStr">
        <is>
          <t>قراءة</t>
        </is>
      </c>
    </row>
    <row r="131">
      <c r="A131" s="16" t="n">
        <v>130</v>
      </c>
      <c r="B131" s="17" t="inlineStr">
        <is>
          <t>الحضور والبصمة</t>
        </is>
      </c>
      <c r="C131" s="17" t="inlineStr">
        <is>
          <t>العمل عن بعد</t>
        </is>
      </c>
      <c r="D131" s="17" t="inlineStr">
        <is>
          <t>هم/HR:sql ariba_attendance</t>
        </is>
      </c>
      <c r="E131" s="17" t="inlineStr">
        <is>
          <t>خارج المواقع: موقع عن بعد + طلب معتمد لليوم</t>
        </is>
      </c>
      <c r="F131" s="17" t="inlineStr">
        <is>
          <t>نحن/خادم:canonical.py punch</t>
        </is>
      </c>
      <c r="G131" s="17" t="inlineStr">
        <is>
          <t>نفسها</t>
        </is>
      </c>
      <c r="H131" s="18" t="inlineStr">
        <is>
          <t>مطابق</t>
        </is>
      </c>
      <c r="I131" s="17" t="inlineStr"/>
      <c r="J131" s="17" t="inlineStr">
        <is>
          <t>قراءة</t>
        </is>
      </c>
    </row>
    <row r="132">
      <c r="A132" s="16" t="n">
        <v>131</v>
      </c>
      <c r="B132" s="17" t="inlineStr">
        <is>
          <t>الحضور والبصمة</t>
        </is>
      </c>
      <c r="C132" s="17" t="inlineStr">
        <is>
          <t>الإغلاق التلقائي 23:59</t>
        </is>
      </c>
      <c r="D132" s="17" t="inlineStr">
        <is>
          <t>هم/HR:sql ariba_attendance</t>
        </is>
      </c>
      <c r="E132" s="17" t="inlineStr">
        <is>
          <t>أي دخول من يوم سابق بدون خروج</t>
        </is>
      </c>
      <c r="F132" s="17" t="inlineStr">
        <is>
          <t>نحن/خادم:canonical.py punch</t>
        </is>
      </c>
      <c r="G132" s="17" t="inlineStr">
        <is>
          <t>نفسها</t>
        </is>
      </c>
      <c r="H132" s="18" t="inlineStr">
        <is>
          <t>مطابق</t>
        </is>
      </c>
      <c r="I132" s="17" t="inlineStr"/>
      <c r="J132" s="17" t="inlineStr">
        <is>
          <t>قراءة</t>
        </is>
      </c>
    </row>
    <row r="133">
      <c r="A133" s="16" t="n">
        <v>132</v>
      </c>
      <c r="B133" s="17" t="inlineStr">
        <is>
          <t>الحضور والبصمة</t>
        </is>
      </c>
      <c r="C133" s="17" t="inlineStr">
        <is>
          <t>التأخير (دوام ثابت)</t>
        </is>
      </c>
      <c r="D133" s="17" t="inlineStr">
        <is>
          <t>هم/HR:sql ariba_attendance</t>
        </is>
      </c>
      <c r="E133" s="17" t="inlineStr">
        <is>
          <t>max(0، round(الوقت − (البداية + السماح)))</t>
        </is>
      </c>
      <c r="F133" s="17" t="inlineStr">
        <is>
          <t>نحن/خادم:canonical.py _punch_late</t>
        </is>
      </c>
      <c r="G133" s="17" t="inlineStr">
        <is>
          <t>نفسها</t>
        </is>
      </c>
      <c r="H133" s="18" t="inlineStr">
        <is>
          <t>مطابق</t>
        </is>
      </c>
      <c r="I133" s="17" t="inlineStr"/>
      <c r="J133" s="17" t="inlineStr">
        <is>
          <t>قراءة</t>
        </is>
      </c>
    </row>
    <row r="134">
      <c r="A134" s="16" t="n">
        <v>133</v>
      </c>
      <c r="B134" s="17" t="inlineStr">
        <is>
          <t>الحضور والبصمة</t>
        </is>
      </c>
      <c r="C134" s="17" t="inlineStr">
        <is>
          <t>التأخير (دوام مرن)</t>
        </is>
      </c>
      <c r="D134" s="17" t="inlineStr">
        <is>
          <t>هم/HR:sql ariba_punch_late</t>
        </is>
      </c>
      <c r="E134" s="17" t="inlineStr">
        <is>
          <t>بعد (نهاية النافذة − الساعات + السماح)، دقيقة على الأقل</t>
        </is>
      </c>
      <c r="F134" s="17" t="inlineStr">
        <is>
          <t>نحن/خادم:canonical.py _punch_late</t>
        </is>
      </c>
      <c r="G134" s="17" t="inlineStr">
        <is>
          <t>نفسها</t>
        </is>
      </c>
      <c r="H134" s="18" t="inlineStr">
        <is>
          <t>مطابق</t>
        </is>
      </c>
      <c r="I134" s="17" t="inlineStr"/>
      <c r="J134" s="17" t="inlineStr">
        <is>
          <t>قراءة</t>
        </is>
      </c>
    </row>
    <row r="135">
      <c r="A135" s="16" t="n">
        <v>134</v>
      </c>
      <c r="B135" s="17" t="inlineStr">
        <is>
          <t>الحضور والبصمة</t>
        </is>
      </c>
      <c r="C135" s="17" t="inlineStr">
        <is>
          <t>منع الدخول المبكر (مرن)</t>
        </is>
      </c>
      <c r="D135" s="17" t="inlineStr">
        <is>
          <t>هم/HR:sql ariba_attendance</t>
        </is>
      </c>
      <c r="E135" s="17" t="inlineStr">
        <is>
          <t>قبل بداية النافذة = رفض</t>
        </is>
      </c>
      <c r="F135" s="17" t="inlineStr">
        <is>
          <t>نحن/خادم:canonical.py punch</t>
        </is>
      </c>
      <c r="G135" s="17" t="inlineStr">
        <is>
          <t>نفسها</t>
        </is>
      </c>
      <c r="H135" s="18" t="inlineStr">
        <is>
          <t>مطابق</t>
        </is>
      </c>
      <c r="I135" s="17" t="inlineStr"/>
      <c r="J135" s="17" t="inlineStr">
        <is>
          <t>قراءة</t>
        </is>
      </c>
    </row>
    <row r="136">
      <c r="A136" s="16" t="n">
        <v>135</v>
      </c>
      <c r="B136" s="17" t="inlineStr">
        <is>
          <t>الحضور والبصمة</t>
        </is>
      </c>
      <c r="C136" s="17" t="inlineStr">
        <is>
          <t>الانصراف المتوقع</t>
        </is>
      </c>
      <c r="D136" s="17" t="inlineStr">
        <is>
          <t>هم/HR:sql ariba_attendance</t>
        </is>
      </c>
      <c r="E136" s="17" t="inlineStr">
        <is>
          <t>عند الدخول المتأخر = نهاية النافذة، وإلا الدخول + الساعات</t>
        </is>
      </c>
      <c r="F136" s="17" t="inlineStr">
        <is>
          <t>نحن/خادم:canonical.py my_attendance</t>
        </is>
      </c>
      <c r="G136" s="17" t="inlineStr">
        <is>
          <t>min(الدخول + الساعات، نهاية النافذة) عند التأخير</t>
        </is>
      </c>
      <c r="H136" s="20" t="inlineStr">
        <is>
          <t>شبه مطابق</t>
        </is>
      </c>
      <c r="I136" s="17" t="inlineStr">
        <is>
          <t>عرض فقط</t>
        </is>
      </c>
      <c r="J136" s="17" t="inlineStr">
        <is>
          <t>قراءة</t>
        </is>
      </c>
    </row>
    <row r="137">
      <c r="A137" s="16" t="n">
        <v>136</v>
      </c>
      <c r="B137" s="17" t="inlineStr">
        <is>
          <t>الحضور والبصمة</t>
        </is>
      </c>
      <c r="C137" s="17" t="inlineStr">
        <is>
          <t>الخروج المبكر (مرن)</t>
        </is>
      </c>
      <c r="D137" s="17" t="inlineStr">
        <is>
          <t>هم/HR:sql ariba_attendance</t>
        </is>
      </c>
      <c r="E137" s="17" t="inlineStr">
        <is>
          <t>المتوقع − الخروج، لكل جلسة</t>
        </is>
      </c>
      <c r="F137" s="17" t="inlineStr">
        <is>
          <t>نحن/خادم:canonical.py _punch_early</t>
        </is>
      </c>
      <c r="G137" s="17" t="inlineStr">
        <is>
          <t>نفسها</t>
        </is>
      </c>
      <c r="H137" s="20" t="inlineStr">
        <is>
          <t>شبه مطابق</t>
        </is>
      </c>
      <c r="I137" s="17" t="inlineStr">
        <is>
          <t>تصحيح K: يُحسب على آخر جلسة فقط</t>
        </is>
      </c>
      <c r="J137" s="17" t="inlineStr">
        <is>
          <t>قراءة</t>
        </is>
      </c>
    </row>
    <row r="138">
      <c r="A138" s="16" t="n">
        <v>137</v>
      </c>
      <c r="B138" s="17" t="inlineStr">
        <is>
          <t>الحضور والبصمة</t>
        </is>
      </c>
      <c r="C138" s="17" t="inlineStr">
        <is>
          <t>تصفير خروج الجلسة السابقة عند دخول جديد</t>
        </is>
      </c>
      <c r="D138" s="17" t="inlineStr">
        <is>
          <t>—</t>
        </is>
      </c>
      <c r="E138" s="17" t="inlineStr">
        <is>
          <t>لا يوجد</t>
        </is>
      </c>
      <c r="F138" s="17" t="inlineStr">
        <is>
          <t>نحن/خادم:canonical.py punch</t>
        </is>
      </c>
      <c r="G138" s="17" t="inlineStr">
        <is>
          <t>يصفّر الخروج المبكر للجلسة السابقة</t>
        </is>
      </c>
      <c r="H138" s="22" t="inlineStr">
        <is>
          <t>عندنا فقط</t>
        </is>
      </c>
      <c r="I138" s="17" t="inlineStr">
        <is>
          <t>تصحيح K</t>
        </is>
      </c>
      <c r="J138" s="17" t="inlineStr">
        <is>
          <t>قراءة</t>
        </is>
      </c>
    </row>
    <row r="139">
      <c r="A139" s="16" t="n">
        <v>138</v>
      </c>
      <c r="B139" s="17" t="inlineStr">
        <is>
          <t>الحضور والبصمة</t>
        </is>
      </c>
      <c r="C139" s="17" t="inlineStr">
        <is>
          <t>السماح = صفر</t>
        </is>
      </c>
      <c r="D139" s="17" t="inlineStr">
        <is>
          <t>هم/HR:sql</t>
        </is>
      </c>
      <c r="E139" s="17" t="inlineStr">
        <is>
          <t>coalesce(السماح، 15) فيبقى صفر</t>
        </is>
      </c>
      <c r="F139" s="17" t="inlineStr">
        <is>
          <t>نحن/خادم:canonical.py _tolerance</t>
        </is>
      </c>
      <c r="G139" s="17" t="inlineStr">
        <is>
          <t>نفسها</t>
        </is>
      </c>
      <c r="H139" s="18" t="inlineStr">
        <is>
          <t>مطابق</t>
        </is>
      </c>
      <c r="I139" s="17" t="inlineStr"/>
      <c r="J139" s="17" t="inlineStr">
        <is>
          <t>قراءة</t>
        </is>
      </c>
    </row>
    <row r="140">
      <c r="A140" s="16" t="n">
        <v>139</v>
      </c>
      <c r="B140" s="17" t="inlineStr">
        <is>
          <t>الحضور والبصمة</t>
        </is>
      </c>
      <c r="C140" s="17" t="inlineStr">
        <is>
          <t>فحص الموقع قبل البصمة في التطبيق</t>
        </is>
      </c>
      <c r="D140" s="17" t="inlineStr">
        <is>
          <t>هم/تطبيق:employee/punch.jsx</t>
        </is>
      </c>
      <c r="E140" s="17" t="inlineStr">
        <is>
          <t>الدائرة + المضلع</t>
        </is>
      </c>
      <c r="F140" s="17" t="inlineStr">
        <is>
          <t>نحن/تطبيق:lib/geo.ts evaluate</t>
        </is>
      </c>
      <c r="G140" s="17" t="inlineStr">
        <is>
          <t>الدائرة فقط (الخادم يفحص المضلع)</t>
        </is>
      </c>
      <c r="H140" s="20" t="inlineStr">
        <is>
          <t>شبه مطابق</t>
        </is>
      </c>
      <c r="I140" s="17" t="inlineStr">
        <is>
          <t>عرض فقط</t>
        </is>
      </c>
      <c r="J140" s="17" t="inlineStr">
        <is>
          <t>قراءة</t>
        </is>
      </c>
    </row>
    <row r="141">
      <c r="A141" s="16" t="n">
        <v>140</v>
      </c>
      <c r="B141" s="17" t="inlineStr">
        <is>
          <t>الحضور والبصمة</t>
        </is>
      </c>
      <c r="C141" s="17" t="inlineStr">
        <is>
          <t>الساعات المنجزة ودائرة التقدم</t>
        </is>
      </c>
      <c r="D141" s="17" t="inlineStr">
        <is>
          <t>هم/تطبيق:employee/Home.jsx</t>
        </is>
      </c>
      <c r="E141" s="17" t="inlineStr">
        <is>
          <t>مجموع الجلسات ÷ ساعات الدوام</t>
        </is>
      </c>
      <c r="F141" s="17" t="inlineStr">
        <is>
          <t>نحن/تطبيق:app/(tabs)/index.tsx</t>
        </is>
      </c>
      <c r="G141" s="17" t="inlineStr">
        <is>
          <t>نفسها</t>
        </is>
      </c>
      <c r="H141" s="18" t="inlineStr">
        <is>
          <t>مطابق</t>
        </is>
      </c>
      <c r="I141" s="17" t="inlineStr"/>
      <c r="J141" s="17" t="inlineStr">
        <is>
          <t>قراءة</t>
        </is>
      </c>
    </row>
    <row r="142">
      <c r="A142" s="16" t="n">
        <v>141</v>
      </c>
      <c r="B142" s="17" t="inlineStr">
        <is>
          <t>الحضور والبصمة</t>
        </is>
      </c>
      <c r="C142" s="17" t="inlineStr">
        <is>
          <t>بطاقة الغائبين في صفحة الحضور</t>
        </is>
      </c>
      <c r="D142" s="17" t="inlineStr">
        <is>
          <t>هم/HR:pages/attendance/index.jsx</t>
        </is>
      </c>
      <c r="E142" s="17" t="inlineStr">
        <is>
          <t>الموظفون − الحاضرون</t>
        </is>
      </c>
      <c r="F142" s="17" t="inlineStr">
        <is>
          <t>نحن/موقع:attendance/page.tsx</t>
        </is>
      </c>
      <c r="G142" s="17" t="inlineStr">
        <is>
          <t>الموظفون − الحاضرون − عن بعد − الإجازات</t>
        </is>
      </c>
      <c r="H142" s="20" t="inlineStr">
        <is>
          <t>شبه مطابق</t>
        </is>
      </c>
      <c r="I142" s="17" t="inlineStr"/>
      <c r="J142" s="17" t="inlineStr">
        <is>
          <t>قراءة</t>
        </is>
      </c>
    </row>
    <row r="143">
      <c r="A143" s="16" t="n">
        <v>142</v>
      </c>
      <c r="B143" s="17" t="inlineStr">
        <is>
          <t>الحضور والبصمة</t>
        </is>
      </c>
      <c r="C143" s="17" t="inlineStr">
        <is>
          <t>عدّاد أيام العمل عن بعد في السنة</t>
        </is>
      </c>
      <c r="D143" s="17" t="inlineStr">
        <is>
          <t>—</t>
        </is>
      </c>
      <c r="E143" s="17" t="inlineStr">
        <is>
          <t>لا يوجد</t>
        </is>
      </c>
      <c r="F143" s="17" t="inlineStr">
        <is>
          <t>نحن/خادم:canonical.py my_attendance</t>
        </is>
      </c>
      <c r="G143" s="17" t="inlineStr">
        <is>
          <t>المستخدم من الحد السنوي</t>
        </is>
      </c>
      <c r="H143" s="22" t="inlineStr">
        <is>
          <t>عندنا فقط</t>
        </is>
      </c>
      <c r="I143" s="17" t="inlineStr"/>
      <c r="J143" s="17" t="inlineStr">
        <is>
          <t>قراءة</t>
        </is>
      </c>
    </row>
    <row r="144">
      <c r="A144" s="16" t="n">
        <v>143</v>
      </c>
      <c r="B144" s="17" t="inlineStr">
        <is>
          <t>لوحة التحكم والتقارير</t>
        </is>
      </c>
      <c r="C144" s="17" t="inlineStr">
        <is>
          <t>نسبة السعودة</t>
        </is>
      </c>
      <c r="D144" s="17" t="inlineStr">
        <is>
          <t>هم/HR:pages/Dashboard.jsx</t>
        </is>
      </c>
      <c r="E144" s="17" t="inlineStr">
        <is>
          <t>round(السعوديين ÷ الحاليين × 100)</t>
        </is>
      </c>
      <c r="F144" s="17" t="inlineStr">
        <is>
          <t>نحن/خادم:canonical.py dashboard</t>
        </is>
      </c>
      <c r="G144" s="17" t="inlineStr">
        <is>
          <t>نفسها</t>
        </is>
      </c>
      <c r="H144" s="18" t="inlineStr">
        <is>
          <t>مطابق</t>
        </is>
      </c>
      <c r="I144" s="17" t="inlineStr"/>
      <c r="J144" s="17" t="inlineStr">
        <is>
          <t>قراءة</t>
        </is>
      </c>
    </row>
    <row r="145">
      <c r="A145" s="16" t="n">
        <v>144</v>
      </c>
      <c r="B145" s="17" t="inlineStr">
        <is>
          <t>لوحة التحكم والتقارير</t>
        </is>
      </c>
      <c r="C145" s="17" t="inlineStr">
        <is>
          <t>تحديد الإناث</t>
        </is>
      </c>
      <c r="D145" s="17" t="inlineStr">
        <is>
          <t>هم/HR:pages/Dashboard.jsx</t>
        </is>
      </c>
      <c r="E145" s="17" t="inlineStr">
        <is>
          <t>حقل الجنس أو قائمة 20 اسماً</t>
        </is>
      </c>
      <c r="F145" s="17" t="inlineStr">
        <is>
          <t>نحن/خادم:canonical.py _FEMALE_NAMES</t>
        </is>
      </c>
      <c r="G145" s="17" t="inlineStr">
        <is>
          <t>نفس القائمة</t>
        </is>
      </c>
      <c r="H145" s="18" t="inlineStr">
        <is>
          <t>مطابق</t>
        </is>
      </c>
      <c r="I145" s="17" t="inlineStr"/>
      <c r="J145" s="17" t="inlineStr">
        <is>
          <t>قراءة</t>
        </is>
      </c>
    </row>
    <row r="146">
      <c r="A146" s="16" t="n">
        <v>145</v>
      </c>
      <c r="B146" s="17" t="inlineStr">
        <is>
          <t>لوحة التحكم والتقارير</t>
        </is>
      </c>
      <c r="C146" s="17" t="inlineStr">
        <is>
          <t>إجمالي الرواتب</t>
        </is>
      </c>
      <c r="D146" s="17" t="inlineStr">
        <is>
          <t>هم/HR:pages/Dashboard.jsx</t>
        </is>
      </c>
      <c r="E146" s="17" t="inlineStr">
        <is>
          <t>أساسي + سكن + مواصلات</t>
        </is>
      </c>
      <c r="F146" s="17" t="inlineStr">
        <is>
          <t>نحن/خادم:canonical.py dashboard</t>
        </is>
      </c>
      <c r="G146" s="17" t="inlineStr">
        <is>
          <t>نفسها</t>
        </is>
      </c>
      <c r="H146" s="18" t="inlineStr">
        <is>
          <t>مطابق</t>
        </is>
      </c>
      <c r="I146" s="17" t="inlineStr"/>
      <c r="J146" s="17" t="inlineStr">
        <is>
          <t>قراءة</t>
        </is>
      </c>
    </row>
    <row r="147">
      <c r="A147" s="16" t="n">
        <v>146</v>
      </c>
      <c r="B147" s="17" t="inlineStr">
        <is>
          <t>لوحة التحكم والتقارير</t>
        </is>
      </c>
      <c r="C147" s="17" t="inlineStr">
        <is>
          <t>الرواتب حسب جهة العمل</t>
        </is>
      </c>
      <c r="D147" s="17" t="inlineStr">
        <is>
          <t>هم/HR:pages/Dashboard.jsx byEmp</t>
        </is>
      </c>
      <c r="E147" s="17" t="inlineStr">
        <is>
          <t>أساسي + سكن + مواصلات</t>
        </is>
      </c>
      <c r="F147" s="17" t="inlineStr">
        <is>
          <t>نحن/خادم:canonical.py dashboard</t>
        </is>
      </c>
      <c r="G147" s="17" t="inlineStr">
        <is>
          <t>salaryTotal (كل البدلات)</t>
        </is>
      </c>
      <c r="H147" s="20" t="inlineStr">
        <is>
          <t>شبه مطابق</t>
        </is>
      </c>
      <c r="I147" s="17" t="inlineStr"/>
      <c r="J147" s="17" t="inlineStr">
        <is>
          <t>قراءة</t>
        </is>
      </c>
    </row>
    <row r="148">
      <c r="A148" s="16" t="n">
        <v>147</v>
      </c>
      <c r="B148" s="17" t="inlineStr">
        <is>
          <t>لوحة التحكم والتقارير</t>
        </is>
      </c>
      <c r="C148" s="17" t="inlineStr">
        <is>
          <t>تنبيهات لوحة التحكم</t>
        </is>
      </c>
      <c r="D148" s="17" t="inlineStr">
        <is>
          <t>هم/HR:lib/util.js collectAlerts (V142)</t>
        </is>
      </c>
      <c r="E148" s="17" t="inlineStr">
        <is>
          <t>الإقامة ≤60، الجواز ≤90، العقد ≤60، فترة التجربة ≤30</t>
        </is>
      </c>
      <c r="F148" s="17" t="inlineStr">
        <is>
          <t>نحن/خادم:canonical.py dashboard</t>
        </is>
      </c>
      <c r="G148" s="17" t="inlineStr">
        <is>
          <t>الإقامة والجواز والتأمين والعقد ≤90</t>
        </is>
      </c>
      <c r="H148" s="19" t="inlineStr">
        <is>
          <t>غير مطابق</t>
        </is>
      </c>
      <c r="I148" s="17" t="inlineStr">
        <is>
          <t>نسخة أحدث عندهم</t>
        </is>
      </c>
      <c r="J148" s="17" t="inlineStr">
        <is>
          <t>قراءة</t>
        </is>
      </c>
    </row>
    <row r="149">
      <c r="A149" s="16" t="n">
        <v>148</v>
      </c>
      <c r="B149" s="17" t="inlineStr">
        <is>
          <t>لوحة التحكم والتقارير</t>
        </is>
      </c>
      <c r="C149" s="17" t="inlineStr">
        <is>
          <t>تنبيه نهاية فترة التجربة</t>
        </is>
      </c>
      <c r="D149" s="17" t="inlineStr">
        <is>
          <t>هم/HR:lib/util.js collectAlerts</t>
        </is>
      </c>
      <c r="E149" s="17" t="inlineStr">
        <is>
          <t>المباشرة + 90 يوماً، ≤30 يوماً</t>
        </is>
      </c>
      <c r="F149" s="17" t="inlineStr">
        <is>
          <t>—</t>
        </is>
      </c>
      <c r="G149" s="17" t="inlineStr">
        <is>
          <t>—</t>
        </is>
      </c>
      <c r="H149" s="21" t="inlineStr">
        <is>
          <t>عندهم فقط</t>
        </is>
      </c>
      <c r="I149" s="17" t="inlineStr"/>
      <c r="J149" s="17" t="inlineStr">
        <is>
          <t>قراءة</t>
        </is>
      </c>
    </row>
    <row r="150">
      <c r="A150" s="16" t="n">
        <v>149</v>
      </c>
      <c r="B150" s="17" t="inlineStr">
        <is>
          <t>لوحة التحكم والتقارير</t>
        </is>
      </c>
      <c r="C150" s="17" t="inlineStr">
        <is>
          <t>تنبيهات الوثائق الجانبية</t>
        </is>
      </c>
      <c r="D150" s="17" t="inlineStr">
        <is>
          <t>هم/HR:lib/util.js getAlerts</t>
        </is>
      </c>
      <c r="E150" s="17" t="inlineStr">
        <is>
          <t>الإقامة والجواز والتأمين ≤90</t>
        </is>
      </c>
      <c r="F150" s="17" t="inlineStr">
        <is>
          <t>نحن/موقع:documents/page.tsx</t>
        </is>
      </c>
      <c r="G150" s="17" t="inlineStr">
        <is>
          <t>نفسها</t>
        </is>
      </c>
      <c r="H150" s="18" t="inlineStr">
        <is>
          <t>مطابق</t>
        </is>
      </c>
      <c r="I150" s="17" t="inlineStr"/>
      <c r="J150" s="17" t="inlineStr">
        <is>
          <t>قراءة</t>
        </is>
      </c>
    </row>
    <row r="151">
      <c r="A151" s="16" t="n">
        <v>150</v>
      </c>
      <c r="B151" s="17" t="inlineStr">
        <is>
          <t>لوحة التحكم والتقارير</t>
        </is>
      </c>
      <c r="C151" s="17" t="inlineStr">
        <is>
          <t>الأيام المتبقية في التقارير</t>
        </is>
      </c>
      <c r="D151" s="17" t="inlineStr">
        <is>
          <t>هم/HR:pages/reports/index.jsx daysLeft</t>
        </is>
      </c>
      <c r="E151" s="17" t="inlineStr">
        <is>
          <t>round</t>
        </is>
      </c>
      <c r="F151" s="17" t="inlineStr">
        <is>
          <t>نحن/موقع:reports/page.tsx</t>
        </is>
      </c>
      <c r="G151" s="17" t="inlineStr">
        <is>
          <t>ceil</t>
        </is>
      </c>
      <c r="H151" s="20" t="inlineStr">
        <is>
          <t>شبه مطابق</t>
        </is>
      </c>
      <c r="I151" s="17" t="inlineStr">
        <is>
          <t>فرق يوم في بعض الحالات</t>
        </is>
      </c>
      <c r="J151" s="17" t="inlineStr">
        <is>
          <t>قراءة</t>
        </is>
      </c>
    </row>
    <row r="152">
      <c r="A152" s="16" t="n">
        <v>151</v>
      </c>
      <c r="B152" s="17" t="inlineStr">
        <is>
          <t>لوحة التحكم والتقارير</t>
        </is>
      </c>
      <c r="C152" s="17" t="inlineStr">
        <is>
          <t>صافي تقرير الرواتب</t>
        </is>
      </c>
      <c r="D152" s="17" t="inlineStr">
        <is>
          <t>هم/HR:pages/reports/index.jsx</t>
        </is>
      </c>
      <c r="E152" s="17" t="inlineStr">
        <is>
          <t>الإجمالي − تأمينات الموظف − الخصومات</t>
        </is>
      </c>
      <c r="F152" s="17" t="inlineStr">
        <is>
          <t>نحن/موقع:reports/page.tsx</t>
        </is>
      </c>
      <c r="G152" s="17" t="inlineStr">
        <is>
          <t>نفسها</t>
        </is>
      </c>
      <c r="H152" s="18" t="inlineStr">
        <is>
          <t>مطابق</t>
        </is>
      </c>
      <c r="I152" s="17" t="inlineStr"/>
      <c r="J152" s="17" t="inlineStr">
        <is>
          <t>قراءة</t>
        </is>
      </c>
    </row>
    <row r="153">
      <c r="A153" s="16" t="n">
        <v>152</v>
      </c>
      <c r="B153" s="17" t="inlineStr">
        <is>
          <t>لوحة التحكم والتقارير</t>
        </is>
      </c>
      <c r="C153" s="17" t="inlineStr">
        <is>
          <t>العمر وسنوات الخدمة في التقرير المخصص</t>
        </is>
      </c>
      <c r="D153" s="17" t="inlineStr">
        <is>
          <t>هم/HR:pages/reports/CustomReport.jsx</t>
        </is>
      </c>
      <c r="E153" s="17" t="inlineStr">
        <is>
          <t>العمر بالسنوات، والخدمة ÷ 31,557,600,000</t>
        </is>
      </c>
      <c r="F153" s="17" t="inlineStr">
        <is>
          <t>—</t>
        </is>
      </c>
      <c r="G153" s="17" t="inlineStr">
        <is>
          <t>—</t>
        </is>
      </c>
      <c r="H153" s="21" t="inlineStr">
        <is>
          <t>عندهم فقط</t>
        </is>
      </c>
      <c r="I153" s="17" t="inlineStr"/>
      <c r="J153" s="17" t="inlineStr">
        <is>
          <t>قراءة</t>
        </is>
      </c>
    </row>
    <row r="154">
      <c r="A154" s="16" t="n">
        <v>153</v>
      </c>
      <c r="B154" s="17" t="inlineStr">
        <is>
          <t>لوحة التحكم والتقارير</t>
        </is>
      </c>
      <c r="C154" s="17" t="inlineStr">
        <is>
          <t>تنبيه نظام العمل على الطلب</t>
        </is>
      </c>
      <c r="D154" s="17" t="inlineStr">
        <is>
          <t>—</t>
        </is>
      </c>
      <c r="E154" s="17" t="inlineStr">
        <is>
          <t>لا يوجد</t>
        </is>
      </c>
      <c r="F154" s="17" t="inlineStr">
        <is>
          <t>نحن/خادم:canonical.py _law_note</t>
        </is>
      </c>
      <c r="G154" s="17" t="inlineStr">
        <is>
          <t>المرضية في سنة متحركة: 30 كاملة، 60 بثلاثة أرباع، 30 بدون أجر + أيام الإجازات الخاصة والحج</t>
        </is>
      </c>
      <c r="H154" s="22" t="inlineStr">
        <is>
          <t>عندنا فقط</t>
        </is>
      </c>
      <c r="I154" s="17" t="inlineStr">
        <is>
          <t>تصحيح E/F</t>
        </is>
      </c>
      <c r="J154" s="17" t="inlineStr">
        <is>
          <t>قراءة</t>
        </is>
      </c>
    </row>
    <row r="155">
      <c r="A155" s="16" t="n">
        <v>154</v>
      </c>
      <c r="B155" s="17" t="inlineStr">
        <is>
          <t>النماذج</t>
        </is>
      </c>
      <c r="C155" s="17" t="inlineStr">
        <is>
          <t>إجمالي شهادة الراتب</t>
        </is>
      </c>
      <c r="D155" s="17" t="inlineStr">
        <is>
          <t>هم/HR:pages/forms/salaryCert.js</t>
        </is>
      </c>
      <c r="E155" s="17" t="inlineStr">
        <is>
          <t>أساسي + سكن + مواصلات + أخرى</t>
        </is>
      </c>
      <c r="F155" s="17" t="inlineStr">
        <is>
          <t>نحن/موقع:lib/calc/forms.ts</t>
        </is>
      </c>
      <c r="G155" s="17" t="inlineStr">
        <is>
          <t>نفسها</t>
        </is>
      </c>
      <c r="H155" s="18" t="inlineStr">
        <is>
          <t>مطابق</t>
        </is>
      </c>
      <c r="I155" s="17" t="inlineStr"/>
      <c r="J155" s="17" t="inlineStr">
        <is>
          <t>قراءة</t>
        </is>
      </c>
    </row>
    <row r="156">
      <c r="A156" s="16" t="n">
        <v>155</v>
      </c>
      <c r="B156" s="17" t="inlineStr">
        <is>
          <t>النماذج</t>
        </is>
      </c>
      <c r="C156" s="17" t="inlineStr">
        <is>
          <t>متوسط تقييم فترة التجربة</t>
        </is>
      </c>
      <c r="D156" s="17" t="inlineStr">
        <is>
          <t>هم/HR:pages/forms/docs.js</t>
        </is>
      </c>
      <c r="E156" s="17" t="inlineStr">
        <is>
          <t>round(متوسط درجات المعايير)</t>
        </is>
      </c>
      <c r="F156" s="17" t="inlineStr">
        <is>
          <t>نحن/موقع:lib/calc/forms.ts</t>
        </is>
      </c>
      <c r="G156" s="17" t="inlineStr">
        <is>
          <t>نفسها</t>
        </is>
      </c>
      <c r="H156" s="18" t="inlineStr">
        <is>
          <t>مطابق</t>
        </is>
      </c>
      <c r="I156" s="17" t="inlineStr"/>
      <c r="J156" s="17" t="inlineStr">
        <is>
          <t>قراءة</t>
        </is>
      </c>
    </row>
    <row r="157">
      <c r="A157" s="16" t="n">
        <v>156</v>
      </c>
      <c r="B157" s="17" t="inlineStr">
        <is>
          <t>النماذج</t>
        </is>
      </c>
      <c r="C157" s="17" t="inlineStr">
        <is>
          <t>التفقيط</t>
        </is>
      </c>
      <c r="D157" s="17" t="inlineStr">
        <is>
          <t>هم/HR:lib/tafqeet.js</t>
        </is>
      </c>
      <c r="E157" s="17" t="inlineStr">
        <is>
          <t>ريال + هللة، مفرد/مثنى/جمع</t>
        </is>
      </c>
      <c r="F157" s="17" t="inlineStr">
        <is>
          <t>نحن/موقع:lib/calc/tafqeet.ts</t>
        </is>
      </c>
      <c r="G157" s="17" t="inlineStr">
        <is>
          <t>نفسها</t>
        </is>
      </c>
      <c r="H157" s="18" t="inlineStr">
        <is>
          <t>مطابق</t>
        </is>
      </c>
      <c r="I157" s="17" t="inlineStr"/>
      <c r="J157" s="17" t="inlineStr">
        <is>
          <t>تشغيل 5,032 رقماً</t>
        </is>
      </c>
    </row>
    <row r="158">
      <c r="A158" s="16" t="n">
        <v>157</v>
      </c>
      <c r="B158" s="17" t="inlineStr">
        <is>
          <t>النماذج</t>
        </is>
      </c>
      <c r="C158" s="17" t="inlineStr">
        <is>
          <t>عرض وظيفي من حاسبة الراتب</t>
        </is>
      </c>
      <c r="D158" s="17" t="inlineStr">
        <is>
          <t>هم/HR:pages/forms/index.jsx</t>
        </is>
      </c>
      <c r="E158" s="17" t="inlineStr">
        <is>
          <t>الإجمالي = مجموع المكونات</t>
        </is>
      </c>
      <c r="F158" s="17" t="inlineStr">
        <is>
          <t>—</t>
        </is>
      </c>
      <c r="G158" s="17" t="inlineStr">
        <is>
          <t>—</t>
        </is>
      </c>
      <c r="H158" s="21" t="inlineStr">
        <is>
          <t>عندهم فقط</t>
        </is>
      </c>
      <c r="I158" s="17" t="inlineStr"/>
      <c r="J158" s="17" t="inlineStr">
        <is>
          <t>قراءة</t>
        </is>
      </c>
    </row>
    <row r="159">
      <c r="A159" s="16" t="n">
        <v>158</v>
      </c>
      <c r="B159" s="17" t="inlineStr">
        <is>
          <t>سير الطلبات</t>
        </is>
      </c>
      <c r="C159" s="17" t="inlineStr">
        <is>
          <t>مراحل الموافقة</t>
        </is>
      </c>
      <c r="D159" s="17" t="inlineStr">
        <is>
          <t>هم/HR:sql/10 ariba_workflow_action (معدّلة)</t>
        </is>
      </c>
      <c r="E159" s="17" t="inlineStr">
        <is>
          <t>مدير ← HR ← رئيس تنفيذي، والنهائي حسب النوع</t>
        </is>
      </c>
      <c r="F159" s="17" t="inlineStr">
        <is>
          <t>نحن/خادم:canonical.py _stages</t>
        </is>
      </c>
      <c r="G159" s="17" t="inlineStr">
        <is>
          <t>مدير ← HR ← رئيس تنفيذي</t>
        </is>
      </c>
      <c r="H159" s="20" t="inlineStr">
        <is>
          <t>شبه مطابق</t>
        </is>
      </c>
      <c r="I159" s="17" t="inlineStr">
        <is>
          <t>عدّلوا الدالة في sql/10 (إرجاع للمدير، رفض بسبب، نهائي حسب النوع)</t>
        </is>
      </c>
      <c r="J159" s="17" t="inlineStr">
        <is>
          <t>قراءة</t>
        </is>
      </c>
    </row>
    <row r="160">
      <c r="A160" s="16" t="n">
        <v>159</v>
      </c>
      <c r="B160" s="17" t="inlineStr">
        <is>
          <t>سير الطلبات</t>
        </is>
      </c>
      <c r="C160" s="17" t="inlineStr">
        <is>
          <t>التصعيد بعد المهلة</t>
        </is>
      </c>
      <c r="D160" s="17" t="inlineStr">
        <is>
          <t>هم/HR:sql/10 ariba_workflow_escalate</t>
        </is>
      </c>
      <c r="E160" s="17" t="inlineStr">
        <is>
          <t>بعد 3 أيام (إعداد) ينتقل لـ HR، كل ساعة</t>
        </is>
      </c>
      <c r="F160" s="17" t="inlineStr">
        <is>
          <t>—</t>
        </is>
      </c>
      <c r="G160" s="17" t="inlineStr">
        <is>
          <t>—</t>
        </is>
      </c>
      <c r="H160" s="21" t="inlineStr">
        <is>
          <t>عندهم فقط</t>
        </is>
      </c>
      <c r="I160" s="17" t="inlineStr"/>
      <c r="J160" s="17" t="inlineStr">
        <is>
          <t>قراءة</t>
        </is>
      </c>
    </row>
    <row r="161">
      <c r="A161" s="16" t="n">
        <v>160</v>
      </c>
      <c r="B161" s="17" t="inlineStr">
        <is>
          <t>سير الطلبات</t>
        </is>
      </c>
      <c r="C161" s="17" t="inlineStr">
        <is>
          <t>حد الراتب المقدم</t>
        </is>
      </c>
      <c r="D161" s="17" t="inlineStr">
        <is>
          <t>هم/HR:sql/10 ariba_submit_request</t>
        </is>
      </c>
      <c r="E161" s="17" t="inlineStr">
        <is>
          <t>الإجمالي × النسبة% (افتراضي 100%)، وطلب معلّق واحد</t>
        </is>
      </c>
      <c r="F161" s="17" t="inlineStr">
        <is>
          <t>—</t>
        </is>
      </c>
      <c r="G161" s="17" t="inlineStr">
        <is>
          <t>—</t>
        </is>
      </c>
      <c r="H161" s="21" t="inlineStr">
        <is>
          <t>عندهم فقط</t>
        </is>
      </c>
      <c r="I161" s="17" t="inlineStr"/>
      <c r="J161" s="17" t="inlineStr">
        <is>
          <t>قراءة</t>
        </is>
      </c>
    </row>
    <row r="162">
      <c r="A162" s="16" t="n">
        <v>161</v>
      </c>
      <c r="B162" s="17" t="inlineStr">
        <is>
          <t>سير الطلبات</t>
        </is>
      </c>
      <c r="C162" s="17" t="inlineStr">
        <is>
          <t>الإجازة بدون راتب</t>
        </is>
      </c>
      <c r="D162" s="17" t="inlineStr">
        <is>
          <t>هم/HR:sql/10</t>
        </is>
      </c>
      <c r="E162" s="17" t="inlineStr">
        <is>
          <t>فترة تقويمية مع سبب إلزامي</t>
        </is>
      </c>
      <c r="F162" s="17" t="inlineStr">
        <is>
          <t>—</t>
        </is>
      </c>
      <c r="G162" s="17" t="inlineStr">
        <is>
          <t>—</t>
        </is>
      </c>
      <c r="H162" s="21" t="inlineStr">
        <is>
          <t>عندهم فقط</t>
        </is>
      </c>
      <c r="I162" s="17" t="inlineStr"/>
      <c r="J162" s="17" t="inlineStr">
        <is>
          <t>قراءة</t>
        </is>
      </c>
    </row>
    <row r="163">
      <c r="A163" s="16" t="n">
        <v>162</v>
      </c>
      <c r="B163" s="17" t="inlineStr">
        <is>
          <t>سير الطلبات</t>
        </is>
      </c>
      <c r="C163" s="17" t="inlineStr">
        <is>
          <t>مهلة المدير والرئيس</t>
        </is>
      </c>
      <c r="D163" s="17" t="inlineStr">
        <is>
          <t>هم/HR:sql/10 ariba_hr_set_wf_config</t>
        </is>
      </c>
      <c r="E163" s="17" t="inlineStr">
        <is>
          <t>0–60 يوماً</t>
        </is>
      </c>
      <c r="F163" s="17" t="inlineStr">
        <is>
          <t>—</t>
        </is>
      </c>
      <c r="G163" s="17" t="inlineStr">
        <is>
          <t>—</t>
        </is>
      </c>
      <c r="H163" s="21" t="inlineStr">
        <is>
          <t>عندهم فقط</t>
        </is>
      </c>
      <c r="I163" s="17" t="inlineStr"/>
      <c r="J163" s="17" t="inlineStr">
        <is>
          <t>قراءة</t>
        </is>
      </c>
    </row>
    <row r="164">
      <c r="A164" s="16" t="n">
        <v>163</v>
      </c>
      <c r="B164" s="17" t="inlineStr">
        <is>
          <t>ميزات جديدة</t>
        </is>
      </c>
      <c r="C164" s="17" t="inlineStr">
        <is>
          <t>حاسبة الراتب: إجمالي ← مكونات</t>
        </is>
      </c>
      <c r="D164" s="17" t="inlineStr">
        <is>
          <t>هم/HR:pages/finance/SalCalc.jsx calc</t>
        </is>
      </c>
      <c r="E164" s="17" t="inlineStr">
        <is>
          <t>الأساسي = (الإجمالي − الثابت) ÷ (1 + النسب)</t>
        </is>
      </c>
      <c r="F164" s="17" t="inlineStr">
        <is>
          <t>—</t>
        </is>
      </c>
      <c r="G164" s="17" t="inlineStr">
        <is>
          <t>—</t>
        </is>
      </c>
      <c r="H164" s="21" t="inlineStr">
        <is>
          <t>عندهم فقط</t>
        </is>
      </c>
      <c r="I164" s="17" t="inlineStr"/>
      <c r="J164" s="17" t="inlineStr">
        <is>
          <t>قراءة</t>
        </is>
      </c>
    </row>
    <row r="165">
      <c r="A165" s="16" t="n">
        <v>164</v>
      </c>
      <c r="B165" s="17" t="inlineStr">
        <is>
          <t>ميزات جديدة</t>
        </is>
      </c>
      <c r="C165" s="17" t="inlineStr">
        <is>
          <t>حاسبة الراتب: صافي ← مكونات</t>
        </is>
      </c>
      <c r="D165" s="17" t="inlineStr">
        <is>
          <t>هم/HR:pages/finance/SalCalc.jsx</t>
        </is>
      </c>
      <c r="E165" s="17" t="inlineStr">
        <is>
          <t>حل عكسي مع التأمينات وحدها الأعلى</t>
        </is>
      </c>
      <c r="F165" s="17" t="inlineStr">
        <is>
          <t>—</t>
        </is>
      </c>
      <c r="G165" s="17" t="inlineStr">
        <is>
          <t>—</t>
        </is>
      </c>
      <c r="H165" s="21" t="inlineStr">
        <is>
          <t>عندهم فقط</t>
        </is>
      </c>
      <c r="I165" s="17" t="inlineStr"/>
      <c r="J165" s="17" t="inlineStr">
        <is>
          <t>قراءة</t>
        </is>
      </c>
    </row>
    <row r="166">
      <c r="A166" s="16" t="n">
        <v>165</v>
      </c>
      <c r="B166" s="17" t="inlineStr">
        <is>
          <t>ميزات جديدة</t>
        </is>
      </c>
      <c r="C166" s="17" t="inlineStr">
        <is>
          <t>حاسبة الراتب: أساسي ← إجمالي وصافي</t>
        </is>
      </c>
      <c r="D166" s="17" t="inlineStr">
        <is>
          <t>هم/HR:pages/finance/SalCalc.jsx</t>
        </is>
      </c>
      <c r="E166" s="17" t="inlineStr">
        <is>
          <t>الإجمالي − التأمينات</t>
        </is>
      </c>
      <c r="F166" s="17" t="inlineStr">
        <is>
          <t>—</t>
        </is>
      </c>
      <c r="G166" s="17" t="inlineStr">
        <is>
          <t>—</t>
        </is>
      </c>
      <c r="H166" s="21" t="inlineStr">
        <is>
          <t>عندهم فقط</t>
        </is>
      </c>
      <c r="I166" s="17" t="inlineStr"/>
      <c r="J166" s="17" t="inlineStr">
        <is>
          <t>قراءة</t>
        </is>
      </c>
    </row>
    <row r="167">
      <c r="A167" s="16" t="n">
        <v>166</v>
      </c>
      <c r="B167" s="17" t="inlineStr">
        <is>
          <t>ميزات جديدة</t>
        </is>
      </c>
      <c r="C167" s="17" t="inlineStr">
        <is>
          <t>حاسبة الراتب: بدل مطلوب لصافي محدد</t>
        </is>
      </c>
      <c r="D167" s="17" t="inlineStr">
        <is>
          <t>هم/HR:pages/finance/SalCalc.jsx</t>
        </is>
      </c>
      <c r="E167" s="17" t="inlineStr">
        <is>
          <t>البدل = الصافي المطلوب − (الإجمالي − التأمينات)</t>
        </is>
      </c>
      <c r="F167" s="17" t="inlineStr">
        <is>
          <t>—</t>
        </is>
      </c>
      <c r="G167" s="17" t="inlineStr">
        <is>
          <t>—</t>
        </is>
      </c>
      <c r="H167" s="21" t="inlineStr">
        <is>
          <t>عندهم فقط</t>
        </is>
      </c>
      <c r="I167" s="17" t="inlineStr"/>
      <c r="J167" s="17" t="inlineStr">
        <is>
          <t>قراءة</t>
        </is>
      </c>
    </row>
    <row r="168">
      <c r="A168" s="16" t="n">
        <v>167</v>
      </c>
      <c r="B168" s="17" t="inlineStr">
        <is>
          <t>ميزات جديدة</t>
        </is>
      </c>
      <c r="C168" s="17" t="inlineStr">
        <is>
          <t>تكلفة الشركة في حاسبة الراتب</t>
        </is>
      </c>
      <c r="D168" s="17" t="inlineStr">
        <is>
          <t>هم/HR:pages/finance/SalCalc.jsx</t>
        </is>
      </c>
      <c r="E168" s="17" t="inlineStr">
        <is>
          <t>الإجمالي + الأجر الخاضع × نسبة الشركة</t>
        </is>
      </c>
      <c r="F168" s="17" t="inlineStr">
        <is>
          <t>—</t>
        </is>
      </c>
      <c r="G168" s="17" t="inlineStr">
        <is>
          <t>—</t>
        </is>
      </c>
      <c r="H168" s="21" t="inlineStr">
        <is>
          <t>عندهم فقط</t>
        </is>
      </c>
      <c r="I168" s="17" t="inlineStr"/>
      <c r="J168" s="17" t="inlineStr">
        <is>
          <t>قراءة</t>
        </is>
      </c>
    </row>
    <row r="169">
      <c r="A169" s="16" t="n">
        <v>168</v>
      </c>
      <c r="B169" s="17" t="inlineStr">
        <is>
          <t>ميزات جديدة</t>
        </is>
      </c>
      <c r="C169" s="17" t="inlineStr">
        <is>
          <t>ضريبة القيمة المضافة من الشامل</t>
        </is>
      </c>
      <c r="D169" s="17" t="inlineStr">
        <is>
          <t>هم/HR:pages/finance/TaxCalc.jsx</t>
        </is>
      </c>
      <c r="E169" s="17" t="inlineStr">
        <is>
          <t>المبلغ ÷ (1 + النسبة)، والضريبة = الباقي</t>
        </is>
      </c>
      <c r="F169" s="17" t="inlineStr">
        <is>
          <t>—</t>
        </is>
      </c>
      <c r="G169" s="17" t="inlineStr">
        <is>
          <t>—</t>
        </is>
      </c>
      <c r="H169" s="21" t="inlineStr">
        <is>
          <t>عندهم فقط</t>
        </is>
      </c>
      <c r="I169" s="17" t="inlineStr"/>
      <c r="J169" s="17" t="inlineStr">
        <is>
          <t>قراءة</t>
        </is>
      </c>
    </row>
    <row r="170">
      <c r="A170" s="16" t="n">
        <v>169</v>
      </c>
      <c r="B170" s="17" t="inlineStr">
        <is>
          <t>ميزات جديدة</t>
        </is>
      </c>
      <c r="C170" s="17" t="inlineStr">
        <is>
          <t>ضريبة القيمة المضافة من غير الشامل</t>
        </is>
      </c>
      <c r="D170" s="17" t="inlineStr">
        <is>
          <t>هم/HR:pages/finance/TaxCalc.jsx</t>
        </is>
      </c>
      <c r="E170" s="17" t="inlineStr">
        <is>
          <t>المبلغ × النسبة</t>
        </is>
      </c>
      <c r="F170" s="17" t="inlineStr">
        <is>
          <t>—</t>
        </is>
      </c>
      <c r="G170" s="17" t="inlineStr">
        <is>
          <t>—</t>
        </is>
      </c>
      <c r="H170" s="21" t="inlineStr">
        <is>
          <t>عندهم فقط</t>
        </is>
      </c>
      <c r="I170" s="17" t="inlineStr"/>
      <c r="J170" s="17" t="inlineStr">
        <is>
          <t>قراءة</t>
        </is>
      </c>
    </row>
    <row r="171">
      <c r="A171" s="16" t="n">
        <v>170</v>
      </c>
      <c r="B171" s="17" t="inlineStr">
        <is>
          <t>ميزات جديدة</t>
        </is>
      </c>
      <c r="C171" s="17" t="inlineStr">
        <is>
          <t>ملف التأمينات الشهري</t>
        </is>
      </c>
      <c r="D171" s="17" t="inlineStr">
        <is>
          <t>هم/HR:pages/finance/InsCalc.jsx</t>
        </is>
      </c>
      <c r="E171" s="17" t="inlineStr">
        <is>
          <t>PAYX لكل موظف بأيام التأمينات</t>
        </is>
      </c>
      <c r="F171" s="17" t="inlineStr">
        <is>
          <t>—</t>
        </is>
      </c>
      <c r="G171" s="17" t="inlineStr">
        <is>
          <t>—</t>
        </is>
      </c>
      <c r="H171" s="21" t="inlineStr">
        <is>
          <t>عندهم فقط</t>
        </is>
      </c>
      <c r="I171" s="17" t="inlineStr"/>
      <c r="J171" s="17" t="inlineStr">
        <is>
          <t>قراءة</t>
        </is>
      </c>
    </row>
    <row r="172">
      <c r="A172" s="16" t="n">
        <v>171</v>
      </c>
      <c r="B172" s="17" t="inlineStr">
        <is>
          <t>ميزات جديدة</t>
        </is>
      </c>
      <c r="C172" s="17" t="inlineStr">
        <is>
          <t>تقرير المخصصات</t>
        </is>
      </c>
      <c r="D172" s="17" t="inlineStr">
        <is>
          <t>هم/HR:pages/finance/Prov.jsx provFor</t>
        </is>
      </c>
      <c r="E172" s="17" t="inlineStr">
        <is>
          <t>PAYX بآخر يوم في الشهر: المكافأة + الرصيد × T÷30، والزيادة عن الشهر السابق</t>
        </is>
      </c>
      <c r="F172" s="17" t="inlineStr">
        <is>
          <t>—</t>
        </is>
      </c>
      <c r="G172" s="17" t="inlineStr">
        <is>
          <t>—</t>
        </is>
      </c>
      <c r="H172" s="21" t="inlineStr">
        <is>
          <t>عندهم فقط</t>
        </is>
      </c>
      <c r="I172" s="17" t="inlineStr"/>
      <c r="J172" s="17" t="inlineStr">
        <is>
          <t>قراءة</t>
        </is>
      </c>
    </row>
    <row r="173">
      <c r="A173" s="16" t="n">
        <v>172</v>
      </c>
      <c r="B173" s="17" t="inlineStr">
        <is>
          <t>ميزات جديدة</t>
        </is>
      </c>
      <c r="C173" s="17" t="inlineStr">
        <is>
          <t>ملف تحويل الرواتب (WPS)</t>
        </is>
      </c>
      <c r="D173" s="17" t="inlineStr">
        <is>
          <t>هم/HR:pages/finance/Wps.jsx</t>
        </is>
      </c>
      <c r="E173" s="17" t="inlineStr">
        <is>
          <t>الأساسي والسكن والأخرى × السعر، الخصم = الإجمالي − الصافي</t>
        </is>
      </c>
      <c r="F173" s="17" t="inlineStr">
        <is>
          <t>—</t>
        </is>
      </c>
      <c r="G173" s="17" t="inlineStr">
        <is>
          <t>—</t>
        </is>
      </c>
      <c r="H173" s="21" t="inlineStr">
        <is>
          <t>عندهم فقط</t>
        </is>
      </c>
      <c r="I173" s="17" t="inlineStr"/>
      <c r="J173" s="17" t="inlineStr">
        <is>
          <t>قراءة</t>
        </is>
      </c>
    </row>
    <row r="174">
      <c r="A174" s="16" t="n">
        <v>173</v>
      </c>
      <c r="B174" s="17" t="inlineStr">
        <is>
          <t>ميزات جديدة</t>
        </is>
      </c>
      <c r="C174" s="17" t="inlineStr">
        <is>
          <t>فحص الآيبان والهوية</t>
        </is>
      </c>
      <c r="D174" s="17" t="inlineStr">
        <is>
          <t>هم/HR:pages/finance/Wps.jsx idOK</t>
        </is>
      </c>
      <c r="E174" s="17" t="inlineStr">
        <is>
          <t>الهوية 10 أرقام</t>
        </is>
      </c>
      <c r="F174" s="17" t="inlineStr">
        <is>
          <t>—</t>
        </is>
      </c>
      <c r="G174" s="17" t="inlineStr">
        <is>
          <t>—</t>
        </is>
      </c>
      <c r="H174" s="21" t="inlineStr">
        <is>
          <t>عندهم فقط</t>
        </is>
      </c>
      <c r="I174" s="17" t="inlineStr"/>
      <c r="J174" s="17" t="inlineStr">
        <is>
          <t>قراءة</t>
        </is>
      </c>
    </row>
    <row r="175">
      <c r="A175" s="16" t="n">
        <v>174</v>
      </c>
      <c r="B175" s="17" t="inlineStr">
        <is>
          <t>ميزات جديدة</t>
        </is>
      </c>
      <c r="C175" s="17" t="inlineStr">
        <is>
          <t>إهلاك الأصول</t>
        </is>
      </c>
      <c r="D175" s="17" t="inlineStr">
        <is>
          <t>هم/HR:pages/finance/Assets.jsx accDep</t>
        </is>
      </c>
      <c r="E175" s="17" t="inlineStr">
        <is>
          <t>(التكلفة − الخردة) × الأشهر ÷ العمر</t>
        </is>
      </c>
      <c r="F175" s="17" t="inlineStr">
        <is>
          <t>—</t>
        </is>
      </c>
      <c r="G175" s="17" t="inlineStr">
        <is>
          <t>—</t>
        </is>
      </c>
      <c r="H175" s="21" t="inlineStr">
        <is>
          <t>عندهم فقط</t>
        </is>
      </c>
      <c r="I175" s="17" t="inlineStr"/>
      <c r="J175" s="17" t="inlineStr">
        <is>
          <t>قراءة</t>
        </is>
      </c>
    </row>
    <row r="176">
      <c r="A176" s="16" t="n">
        <v>175</v>
      </c>
      <c r="B176" s="17" t="inlineStr">
        <is>
          <t>ميزات جديدة</t>
        </is>
      </c>
      <c r="C176" s="17" t="inlineStr">
        <is>
          <t>نسبة الإهلاك السنوية</t>
        </is>
      </c>
      <c r="D176" s="17" t="inlineStr">
        <is>
          <t>هم/HR:pages/finance/Assets.jsx rate</t>
        </is>
      </c>
      <c r="E176" s="17" t="inlineStr">
        <is>
          <t>(التكلفة − الخردة) ÷ التكلفة × 12 ÷ العمر</t>
        </is>
      </c>
      <c r="F176" s="17" t="inlineStr">
        <is>
          <t>—</t>
        </is>
      </c>
      <c r="G176" s="17" t="inlineStr">
        <is>
          <t>—</t>
        </is>
      </c>
      <c r="H176" s="21" t="inlineStr">
        <is>
          <t>عندهم فقط</t>
        </is>
      </c>
      <c r="I176" s="17" t="inlineStr"/>
      <c r="J176" s="17" t="inlineStr">
        <is>
          <t>قراءة</t>
        </is>
      </c>
    </row>
    <row r="177">
      <c r="A177" s="16" t="n">
        <v>176</v>
      </c>
      <c r="B177" s="17" t="inlineStr">
        <is>
          <t>ميزات جديدة</t>
        </is>
      </c>
      <c r="C177" s="17" t="inlineStr">
        <is>
          <t>جرد الأصول السنوي</t>
        </is>
      </c>
      <c r="D177" s="17" t="inlineStr">
        <is>
          <t>هم/HR:pages/finance/Assets.jsx</t>
        </is>
      </c>
      <c r="E177" s="17" t="inlineStr">
        <is>
          <t>أول السنة + إضافات − استبعادات، ومجمع الإهلاك</t>
        </is>
      </c>
      <c r="F177" s="17" t="inlineStr">
        <is>
          <t>—</t>
        </is>
      </c>
      <c r="G177" s="17" t="inlineStr">
        <is>
          <t>—</t>
        </is>
      </c>
      <c r="H177" s="21" t="inlineStr">
        <is>
          <t>عندهم فقط</t>
        </is>
      </c>
      <c r="I177" s="17" t="inlineStr"/>
      <c r="J177" s="17" t="inlineStr">
        <is>
          <t>قراءة</t>
        </is>
      </c>
    </row>
    <row r="178">
      <c r="A178" s="16" t="n">
        <v>177</v>
      </c>
      <c r="B178" s="17" t="inlineStr">
        <is>
          <t>ميزات جديدة</t>
        </is>
      </c>
      <c r="C178" s="17" t="inlineStr">
        <is>
          <t>نسبة إنجاز المستهدف</t>
        </is>
      </c>
      <c r="D178" s="17" t="inlineStr">
        <is>
          <t>هم/HR:lib/goals.js pct</t>
        </is>
      </c>
      <c r="E178" s="17" t="inlineStr">
        <is>
          <t>min(100، المنجز ÷ المطلوب × 100)</t>
        </is>
      </c>
      <c r="F178" s="17" t="inlineStr">
        <is>
          <t>—</t>
        </is>
      </c>
      <c r="G178" s="17" t="inlineStr">
        <is>
          <t>—</t>
        </is>
      </c>
      <c r="H178" s="21" t="inlineStr">
        <is>
          <t>عندهم فقط</t>
        </is>
      </c>
      <c r="I178" s="17" t="inlineStr"/>
      <c r="J178" s="17" t="inlineStr">
        <is>
          <t>قراءة</t>
        </is>
      </c>
    </row>
    <row r="179">
      <c r="A179" s="16" t="n">
        <v>178</v>
      </c>
      <c r="B179" s="17" t="inlineStr">
        <is>
          <t>ميزات جديدة</t>
        </is>
      </c>
      <c r="C179" s="17" t="inlineStr">
        <is>
          <t>درجة التقييم</t>
        </is>
      </c>
      <c r="D179" s="17" t="inlineStr">
        <is>
          <t>هم/HR:goals/EvalForm.jsx + sql/16</t>
        </is>
      </c>
      <c r="E179" s="17" t="inlineStr">
        <is>
          <t>متوسط الدرجات الموزون (0–100)</t>
        </is>
      </c>
      <c r="F179" s="17" t="inlineStr">
        <is>
          <t>—</t>
        </is>
      </c>
      <c r="G179" s="17" t="inlineStr">
        <is>
          <t>—</t>
        </is>
      </c>
      <c r="H179" s="21" t="inlineStr">
        <is>
          <t>عندهم فقط</t>
        </is>
      </c>
      <c r="I179" s="17" t="inlineStr"/>
      <c r="J179" s="17" t="inlineStr">
        <is>
          <t>قراءة</t>
        </is>
      </c>
    </row>
    <row r="180">
      <c r="A180" s="16" t="n">
        <v>179</v>
      </c>
      <c r="B180" s="17" t="inlineStr">
        <is>
          <t>ميزات جديدة</t>
        </is>
      </c>
      <c r="C180" s="17" t="inlineStr">
        <is>
          <t>تصنيف التقييم</t>
        </is>
      </c>
      <c r="D180" s="17" t="inlineStr">
        <is>
          <t>هم/HR:lib/goals.js ratingOf</t>
        </is>
      </c>
      <c r="E180" s="17" t="inlineStr">
        <is>
          <t>≥90 ممتاز، ≥75 جيد جداً، ≥60 جيد، ≥50 مقبول، وإلا ضعيف</t>
        </is>
      </c>
      <c r="F180" s="17" t="inlineStr">
        <is>
          <t>—</t>
        </is>
      </c>
      <c r="G180" s="17" t="inlineStr">
        <is>
          <t>—</t>
        </is>
      </c>
      <c r="H180" s="21" t="inlineStr">
        <is>
          <t>عندهم فقط</t>
        </is>
      </c>
      <c r="I180" s="17" t="inlineStr"/>
      <c r="J180" s="17" t="inlineStr">
        <is>
          <t>قراءة</t>
        </is>
      </c>
    </row>
    <row r="181">
      <c r="A181" s="16" t="n">
        <v>180</v>
      </c>
      <c r="B181" s="17" t="inlineStr">
        <is>
          <t>ميزات جديدة</t>
        </is>
      </c>
      <c r="C181" s="17" t="inlineStr">
        <is>
          <t>مفتاح الفترة (سنوي/ربع/شهري)</t>
        </is>
      </c>
      <c r="D181" s="17" t="inlineStr">
        <is>
          <t>هم/HR:lib/goals.js curKey</t>
        </is>
      </c>
      <c r="E181" s="17" t="inlineStr">
        <is>
          <t>الربع = (الشهر + 2) ÷ 3</t>
        </is>
      </c>
      <c r="F181" s="17" t="inlineStr">
        <is>
          <t>—</t>
        </is>
      </c>
      <c r="G181" s="17" t="inlineStr">
        <is>
          <t>—</t>
        </is>
      </c>
      <c r="H181" s="21" t="inlineStr">
        <is>
          <t>عندهم فقط</t>
        </is>
      </c>
      <c r="I181" s="17" t="inlineStr"/>
      <c r="J181" s="17" t="inlineStr">
        <is>
          <t>قراءة</t>
        </is>
      </c>
    </row>
    <row r="182">
      <c r="A182" s="16" t="n">
        <v>181</v>
      </c>
      <c r="B182" s="17" t="inlineStr">
        <is>
          <t>ميزات جديدة</t>
        </is>
      </c>
      <c r="C182" s="17" t="inlineStr">
        <is>
          <t>توفر الفريق</t>
        </is>
      </c>
      <c r="D182" s="17" t="inlineStr">
        <is>
          <t>هم/HR:pages/team/index.jsx</t>
        </is>
      </c>
      <c r="E182" s="17" t="inlineStr">
        <is>
          <t>دمج الإجازات المتتالية وعدد أيامها</t>
        </is>
      </c>
      <c r="F182" s="17" t="inlineStr">
        <is>
          <t>—</t>
        </is>
      </c>
      <c r="G182" s="17" t="inlineStr">
        <is>
          <t>—</t>
        </is>
      </c>
      <c r="H182" s="21" t="inlineStr">
        <is>
          <t>عندهم فقط</t>
        </is>
      </c>
      <c r="I182" s="17" t="inlineStr">
        <is>
          <t>الدالة ariba_team_availability غير موجودة في ملفاتهم</t>
        </is>
      </c>
      <c r="J182" s="17" t="inlineStr">
        <is>
          <t>قراءة</t>
        </is>
      </c>
    </row>
    <row r="183">
      <c r="A183" s="16" t="n">
        <v>182</v>
      </c>
      <c r="B183" s="17" t="inlineStr">
        <is>
          <t>ميزات جديدة</t>
        </is>
      </c>
      <c r="C183" s="17" t="inlineStr">
        <is>
          <t>ضريبة الدخل في مصر</t>
        </is>
      </c>
      <c r="D183" s="17" t="inlineStr">
        <is>
          <t>هم/HR:engines/country.js taxAnnual</t>
        </is>
      </c>
      <c r="E183" s="17" t="inlineStr">
        <is>
          <t>شرائح من 0% إلى 27.5% بعد إعفاء 20,000</t>
        </is>
      </c>
      <c r="F183" s="17" t="inlineStr">
        <is>
          <t>—</t>
        </is>
      </c>
      <c r="G183" s="17" t="inlineStr">
        <is>
          <t>—</t>
        </is>
      </c>
      <c r="H183" s="21" t="inlineStr">
        <is>
          <t>عندهم فقط</t>
        </is>
      </c>
      <c r="I183" s="17" t="inlineStr"/>
      <c r="J183" s="17" t="inlineStr">
        <is>
          <t>قراءة</t>
        </is>
      </c>
    </row>
    <row r="184">
      <c r="A184" s="16" t="n">
        <v>183</v>
      </c>
      <c r="B184" s="17" t="inlineStr">
        <is>
          <t>ميزات جديدة</t>
        </is>
      </c>
      <c r="C184" s="17" t="inlineStr">
        <is>
          <t>مساهمة الشهداء في مصر</t>
        </is>
      </c>
      <c r="D184" s="17" t="inlineStr">
        <is>
          <t>هم/HR:engines/country.js</t>
        </is>
      </c>
      <c r="E184" s="17" t="inlineStr">
        <is>
          <t>0.05% من الإجمالي</t>
        </is>
      </c>
      <c r="F184" s="17" t="inlineStr">
        <is>
          <t>—</t>
        </is>
      </c>
      <c r="G184" s="17" t="inlineStr">
        <is>
          <t>—</t>
        </is>
      </c>
      <c r="H184" s="21" t="inlineStr">
        <is>
          <t>عندهم فقط</t>
        </is>
      </c>
      <c r="I184" s="17" t="inlineStr"/>
      <c r="J184" s="17" t="inlineStr">
        <is>
          <t>قراءة</t>
        </is>
      </c>
    </row>
    <row r="185">
      <c r="A185" s="16" t="n">
        <v>184</v>
      </c>
      <c r="B185" s="17" t="inlineStr">
        <is>
          <t>ميزات جديدة</t>
        </is>
      </c>
      <c r="C185" s="17" t="inlineStr">
        <is>
          <t>معامل الاستقالة في مصر</t>
        </is>
      </c>
      <c r="D185" s="17" t="inlineStr">
        <is>
          <t>هم/HR:engines/country.js resignFactor</t>
        </is>
      </c>
      <c r="E185" s="17" t="inlineStr">
        <is>
          <t>حسب شرائح قابلة للتعديل</t>
        </is>
      </c>
      <c r="F185" s="17" t="inlineStr">
        <is>
          <t>—</t>
        </is>
      </c>
      <c r="G185" s="17" t="inlineStr">
        <is>
          <t>—</t>
        </is>
      </c>
      <c r="H185" s="21" t="inlineStr">
        <is>
          <t>عندهم فقط</t>
        </is>
      </c>
      <c r="I185" s="17" t="inlineStr"/>
      <c r="J185" s="17" t="inlineStr">
        <is>
          <t>قراءة</t>
        </is>
      </c>
    </row>
    <row r="186">
      <c r="A186" s="16" t="n">
        <v>185</v>
      </c>
      <c r="B186" s="17" t="inlineStr">
        <is>
          <t>ميزات جديدة</t>
        </is>
      </c>
      <c r="C186" s="17" t="inlineStr">
        <is>
          <t>تعويض م.77 في مصر</t>
        </is>
      </c>
      <c r="D186" s="17" t="inlineStr">
        <is>
          <t>هم/HR:engines/country.js</t>
        </is>
      </c>
      <c r="E186" s="17" t="inlineStr">
        <is>
          <t>شهرين × T × السنوات</t>
        </is>
      </c>
      <c r="F186" s="17" t="inlineStr">
        <is>
          <t>—</t>
        </is>
      </c>
      <c r="G186" s="17" t="inlineStr">
        <is>
          <t>—</t>
        </is>
      </c>
      <c r="H186" s="21" t="inlineStr">
        <is>
          <t>عندهم فقط</t>
        </is>
      </c>
      <c r="I186" s="17" t="inlineStr"/>
      <c r="J186" s="17" t="inlineStr">
        <is>
          <t>قراءة</t>
        </is>
      </c>
    </row>
    <row r="187">
      <c r="A187" s="16" t="n">
        <v>186</v>
      </c>
      <c r="B187" s="17" t="inlineStr">
        <is>
          <t>ميزات جديدة</t>
        </is>
      </c>
      <c r="C187" s="17" t="inlineStr">
        <is>
          <t>قراءة التواريخ في المساعد الذكي</t>
        </is>
      </c>
      <c r="D187" s="17" t="inlineStr">
        <is>
          <t>هم/HR:lib/aiParse.js</t>
        </is>
      </c>
      <c r="E187" s="17" t="inlineStr">
        <is>
          <t>اليوم/غداً/أيام الأسبوع إلى تاريخ</t>
        </is>
      </c>
      <c r="F187" s="17" t="inlineStr">
        <is>
          <t>—</t>
        </is>
      </c>
      <c r="G187" s="17" t="inlineStr">
        <is>
          <t>—</t>
        </is>
      </c>
      <c r="H187" s="21" t="inlineStr">
        <is>
          <t>عندهم فقط</t>
        </is>
      </c>
      <c r="I187" s="17" t="inlineStr"/>
      <c r="J187" s="17" t="inlineStr">
        <is>
          <t>قراءة</t>
        </is>
      </c>
    </row>
    <row r="188">
      <c r="A188" s="16" t="n">
        <v>187</v>
      </c>
      <c r="B188" s="17" t="inlineStr">
        <is>
          <t>الدخول والجلسات</t>
        </is>
      </c>
      <c r="C188" s="17" t="inlineStr">
        <is>
          <t>مدة الجلسة</t>
        </is>
      </c>
      <c r="D188" s="17" t="inlineStr">
        <is>
          <t>هم/HR:lib/config.js</t>
        </is>
      </c>
      <c r="E188" s="17" t="inlineStr">
        <is>
          <t>خمول 5 دقائق + تحذير 3 دقائق، أقصى 24 ساعة</t>
        </is>
      </c>
      <c r="F188" s="17" t="inlineStr">
        <is>
          <t>نحن/خادم:canonical.py SESSION_HOURS</t>
        </is>
      </c>
      <c r="G188" s="17" t="inlineStr">
        <is>
          <t>8 ساعات قابلة للتجديد، أقصى 24 ساعة</t>
        </is>
      </c>
      <c r="H188" s="20" t="inlineStr">
        <is>
          <t>شبه مطابق</t>
        </is>
      </c>
      <c r="I188" s="17" t="inlineStr">
        <is>
          <t>آلية مختلفة، نفس الحد الأقصى</t>
        </is>
      </c>
      <c r="J188" s="17" t="inlineStr">
        <is>
          <t>قراءة</t>
        </is>
      </c>
    </row>
    <row r="189">
      <c r="A189" s="16" t="n">
        <v>188</v>
      </c>
      <c r="B189" s="17" t="inlineStr">
        <is>
          <t>الدخول والجلسات</t>
        </is>
      </c>
      <c r="C189" s="17" t="inlineStr">
        <is>
          <t>قفل بعد محاولات فاشلة</t>
        </is>
      </c>
      <c r="D189" s="17" t="inlineStr">
        <is>
          <t>—</t>
        </is>
      </c>
      <c r="E189" s="17" t="inlineStr">
        <is>
          <t>لم أجده في كودهم</t>
        </is>
      </c>
      <c r="F189" s="17" t="inlineStr">
        <is>
          <t>نحن/خادم:canonical.py login</t>
        </is>
      </c>
      <c r="G189" s="17" t="inlineStr">
        <is>
          <t>حد محاولات خلال 15 دقيقة</t>
        </is>
      </c>
      <c r="H189" s="22" t="inlineStr">
        <is>
          <t>عندنا فقط</t>
        </is>
      </c>
      <c r="I189" s="17" t="inlineStr"/>
      <c r="J189" s="17" t="inlineStr">
        <is>
          <t>قراءة</t>
        </is>
      </c>
    </row>
  </sheetData>
  <autoFilter ref="A1:J189"/>
  <dataValidations count="1">
    <dataValidation sqref="H2:H189" showDropDown="0" showInputMessage="0" showErrorMessage="0" allowBlank="0" type="list">
      <formula1>"مطابق,شبه مطابق,غير مطابق,عندهم فقط,عندنا فقط"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2026-10-18T12:02:55Z</dcterms:created>
  <dcterms:modified xmlns:dcterms="http://purl.org/dc/terms/" xmlns:xsi="http://www.w3.org/2001/XMLSchema-instance" xsi:type="dcterms:W3CDTF">2026-10-18T12:02:56Z</dcterms:modified>
</cp:coreProperties>
</file>